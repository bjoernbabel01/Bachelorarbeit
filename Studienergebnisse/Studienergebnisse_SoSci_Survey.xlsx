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Ex5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Ex6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7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Ex8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Ex9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xr:revisionPtr revIDLastSave="0" documentId="8_{96CD812E-A0A4-4606-8841-23E41CF0820C}" xr6:coauthVersionLast="47" xr6:coauthVersionMax="47" xr10:uidLastSave="{00000000-0000-0000-0000-000000000000}"/>
  <bookViews>
    <workbookView xWindow="0" yWindow="0" windowWidth="16384" windowHeight="8192" tabRatio="212" xr2:uid="{00000000-000D-0000-FFFF-FFFF00000000}"/>
  </bookViews>
  <sheets>
    <sheet name="solar_tangible" sheetId="1" r:id="rId1"/>
    <sheet name="Raw-Data" sheetId="2" r:id="rId2"/>
    <sheet name="RTLX" sheetId="5" r:id="rId3"/>
    <sheet name="Interaktionshäufigkeit" sheetId="8" r:id="rId4"/>
    <sheet name="Interview" sheetId="9" r:id="rId5"/>
    <sheet name="UEQ" sheetId="3" r:id="rId6"/>
    <sheet name="Bearbeitungszeit" sheetId="4" r:id="rId7"/>
    <sheet name="Zielerreichungsgrad" sheetId="6" r:id="rId8"/>
  </sheets>
  <definedNames>
    <definedName name="_xlchart.v1.0" hidden="1">'Raw-Data'!$G$25:$G$40</definedName>
    <definedName name="_xlchart.v1.1" hidden="1">'Raw-Data'!$G$25:$G$40</definedName>
    <definedName name="_xlchart.v1.10" hidden="1">Interview!$J$19</definedName>
    <definedName name="_xlchart.v1.11" hidden="1">Interview!$J$20:$J$35</definedName>
    <definedName name="_xlchart.v1.12" hidden="1">Interview!$K$19</definedName>
    <definedName name="_xlchart.v1.13" hidden="1">Interview!$K$20:$K$35</definedName>
    <definedName name="_xlchart.v1.14" hidden="1">Interview!$L$19</definedName>
    <definedName name="_xlchart.v1.15" hidden="1">Interview!$L$20:$L$35</definedName>
    <definedName name="_xlchart.v1.16" hidden="1">Interview!$M$19</definedName>
    <definedName name="_xlchart.v1.17" hidden="1">Interview!$M$20:$M$35</definedName>
    <definedName name="_xlchart.v1.18" hidden="1">Interview!$N$19</definedName>
    <definedName name="_xlchart.v1.19" hidden="1">Interview!$N$20:$N$35</definedName>
    <definedName name="_xlchart.v1.2" hidden="1">RTLX!$T$45:$T$60</definedName>
    <definedName name="_xlchart.v1.20" hidden="1">Interview!$B$19</definedName>
    <definedName name="_xlchart.v1.21" hidden="1">Interview!$B$20:$B$35</definedName>
    <definedName name="_xlchart.v1.22" hidden="1">Interview!$C$19</definedName>
    <definedName name="_xlchart.v1.23" hidden="1">Interview!$C$20:$C$35</definedName>
    <definedName name="_xlchart.v1.24" hidden="1">Interview!$D$19</definedName>
    <definedName name="_xlchart.v1.25" hidden="1">Interview!$D$20:$D$35</definedName>
    <definedName name="_xlchart.v1.26" hidden="1">Interview!$E$19</definedName>
    <definedName name="_xlchart.v1.27" hidden="1">Interview!$E$20:$E$35</definedName>
    <definedName name="_xlchart.v1.28" hidden="1">Interview!$F$19</definedName>
    <definedName name="_xlchart.v1.29" hidden="1">Interview!$F$20:$F$35</definedName>
    <definedName name="_xlchart.v1.3" hidden="1">RTLX!$Z$45:$Z$60</definedName>
    <definedName name="_xlchart.v1.30" hidden="1">Bearbeitungszeit!$B$2:$B$17</definedName>
    <definedName name="_xlchart.v1.31" hidden="1">Bearbeitungszeit!$C$2:$C$17</definedName>
    <definedName name="_xlchart.v1.32" hidden="1">Zielerreichungsgrad!$F$52:$F$67</definedName>
    <definedName name="_xlchart.v1.33" hidden="1">Zielerreichungsgrad!$G$52:$G$67</definedName>
    <definedName name="_xlchart.v1.4" hidden="1">RTLX!$R$27:$R$42</definedName>
    <definedName name="_xlchart.v1.5" hidden="1">RTLX!$X$27:$X$42</definedName>
    <definedName name="_xlchart.v1.6" hidden="1">Interaktionshäufigkeit!$O$4</definedName>
    <definedName name="_xlchart.v1.7" hidden="1">Interaktionshäufigkeit!$O$5:$O$19</definedName>
    <definedName name="_xlchart.v1.8" hidden="1">Interaktionshäufigkeit!$P$4</definedName>
    <definedName name="_xlchart.v1.9" hidden="1">Interaktionshäufigkeit!$P$5:$P$19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9" l="1"/>
  <c r="J36" i="9"/>
  <c r="K36" i="9"/>
  <c r="L36" i="9"/>
  <c r="M36" i="9"/>
  <c r="N36" i="9"/>
  <c r="J37" i="9"/>
  <c r="K37" i="9"/>
  <c r="L37" i="9"/>
  <c r="M37" i="9"/>
  <c r="C38" i="9"/>
  <c r="D38" i="9"/>
  <c r="E38" i="9"/>
  <c r="F38" i="9"/>
  <c r="J38" i="9"/>
  <c r="K38" i="9"/>
  <c r="L38" i="9"/>
  <c r="M38" i="9"/>
  <c r="N38" i="9"/>
  <c r="B38" i="9"/>
  <c r="B37" i="9"/>
  <c r="C37" i="9"/>
  <c r="D37" i="9"/>
  <c r="E37" i="9"/>
  <c r="F37" i="9"/>
  <c r="B36" i="9"/>
  <c r="C36" i="9"/>
  <c r="E36" i="9"/>
  <c r="F36" i="9"/>
  <c r="D36" i="9"/>
  <c r="Y4" i="9"/>
  <c r="Y5" i="9"/>
  <c r="Y6" i="9"/>
  <c r="Y7" i="9"/>
  <c r="Y11" i="9"/>
  <c r="Y12" i="9"/>
  <c r="Y13" i="9"/>
  <c r="Y14" i="9"/>
  <c r="Y15" i="9"/>
  <c r="X4" i="9"/>
  <c r="X5" i="9"/>
  <c r="X6" i="9"/>
  <c r="X7" i="9"/>
  <c r="X11" i="9"/>
  <c r="X12" i="9"/>
  <c r="X13" i="9"/>
  <c r="X14" i="9"/>
  <c r="X15" i="9"/>
  <c r="W4" i="9"/>
  <c r="W5" i="9"/>
  <c r="W6" i="9"/>
  <c r="W7" i="9"/>
  <c r="W11" i="9"/>
  <c r="W12" i="9"/>
  <c r="W13" i="9"/>
  <c r="W14" i="9"/>
  <c r="W15" i="9"/>
  <c r="Y3" i="9"/>
  <c r="X3" i="9"/>
  <c r="W3" i="9"/>
  <c r="V4" i="9"/>
  <c r="V5" i="9"/>
  <c r="V6" i="9"/>
  <c r="V7" i="9"/>
  <c r="V11" i="9"/>
  <c r="V12" i="9"/>
  <c r="V13" i="9"/>
  <c r="V14" i="9"/>
  <c r="V15" i="9"/>
  <c r="V3" i="9"/>
  <c r="U12" i="9"/>
  <c r="U13" i="9"/>
  <c r="U14" i="9"/>
  <c r="U15" i="9"/>
  <c r="U11" i="9"/>
  <c r="U4" i="9"/>
  <c r="U5" i="9"/>
  <c r="U6" i="9"/>
  <c r="U7" i="9"/>
  <c r="U3" i="9"/>
  <c r="T12" i="9"/>
  <c r="T13" i="9"/>
  <c r="T14" i="9"/>
  <c r="T15" i="9"/>
  <c r="T11" i="9"/>
  <c r="T4" i="9"/>
  <c r="T5" i="9"/>
  <c r="T6" i="9"/>
  <c r="T7" i="9"/>
  <c r="T3" i="9"/>
  <c r="S12" i="9"/>
  <c r="S13" i="9"/>
  <c r="S14" i="9"/>
  <c r="S15" i="9"/>
  <c r="S11" i="9"/>
  <c r="S4" i="9"/>
  <c r="S5" i="9"/>
  <c r="S6" i="9"/>
  <c r="S7" i="9"/>
  <c r="S3" i="9"/>
  <c r="DJ44" i="2"/>
  <c r="Z11" i="9"/>
  <c r="Z12" i="9"/>
  <c r="Z13" i="9"/>
  <c r="Z14" i="9"/>
  <c r="Z15" i="9"/>
  <c r="Z6" i="9"/>
  <c r="AF2" i="9" s="1"/>
  <c r="Z4" i="9"/>
  <c r="AD2" i="9" s="1"/>
  <c r="Z5" i="9"/>
  <c r="AE2" i="9" s="1"/>
  <c r="Z7" i="9"/>
  <c r="AG2" i="9" s="1"/>
  <c r="Z3" i="9"/>
  <c r="AC2" i="9" s="1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26" i="8"/>
  <c r="N26" i="8" s="1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6" i="8"/>
  <c r="K5" i="8"/>
  <c r="N5" i="8" s="1"/>
  <c r="F52" i="6"/>
  <c r="G52" i="6"/>
  <c r="H52" i="6"/>
  <c r="G53" i="6"/>
  <c r="H53" i="6"/>
  <c r="G54" i="6"/>
  <c r="H54" i="6"/>
  <c r="G55" i="6"/>
  <c r="H55" i="6"/>
  <c r="G56" i="6"/>
  <c r="H56" i="6"/>
  <c r="G57" i="6"/>
  <c r="H57" i="6"/>
  <c r="G58" i="6"/>
  <c r="H58" i="6"/>
  <c r="G59" i="6"/>
  <c r="H59" i="6"/>
  <c r="G60" i="6"/>
  <c r="H60" i="6"/>
  <c r="G61" i="6"/>
  <c r="H61" i="6"/>
  <c r="G62" i="6"/>
  <c r="H62" i="6"/>
  <c r="G63" i="6"/>
  <c r="H63" i="6"/>
  <c r="G64" i="6"/>
  <c r="H64" i="6"/>
  <c r="G65" i="6"/>
  <c r="H65" i="6"/>
  <c r="G66" i="6"/>
  <c r="H66" i="6"/>
  <c r="G67" i="6"/>
  <c r="H67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52" i="6"/>
  <c r="AG38" i="6"/>
  <c r="AH38" i="6" s="1"/>
  <c r="AE38" i="6"/>
  <c r="AF38" i="6" s="1"/>
  <c r="AC38" i="6"/>
  <c r="AD38" i="6" s="1"/>
  <c r="AA38" i="6"/>
  <c r="AB38" i="6" s="1"/>
  <c r="Y38" i="6"/>
  <c r="Z38" i="6" s="1"/>
  <c r="W38" i="6"/>
  <c r="X38" i="6" s="1"/>
  <c r="U38" i="6"/>
  <c r="V38" i="6" s="1"/>
  <c r="S38" i="6"/>
  <c r="T38" i="6" s="1"/>
  <c r="Q38" i="6"/>
  <c r="R38" i="6" s="1"/>
  <c r="O38" i="6"/>
  <c r="P38" i="6" s="1"/>
  <c r="M38" i="6"/>
  <c r="N38" i="6" s="1"/>
  <c r="K38" i="6"/>
  <c r="L38" i="6" s="1"/>
  <c r="I38" i="6"/>
  <c r="J38" i="6" s="1"/>
  <c r="G38" i="6"/>
  <c r="H38" i="6" s="1"/>
  <c r="E38" i="6"/>
  <c r="F38" i="6" s="1"/>
  <c r="C38" i="6"/>
  <c r="D38" i="6" s="1"/>
  <c r="AG26" i="6"/>
  <c r="AH26" i="6" s="1"/>
  <c r="AE26" i="6"/>
  <c r="AF26" i="6" s="1"/>
  <c r="AC26" i="6"/>
  <c r="AD26" i="6" s="1"/>
  <c r="AA26" i="6"/>
  <c r="AB26" i="6" s="1"/>
  <c r="Y26" i="6"/>
  <c r="Z26" i="6" s="1"/>
  <c r="W26" i="6"/>
  <c r="X26" i="6" s="1"/>
  <c r="U26" i="6"/>
  <c r="V26" i="6" s="1"/>
  <c r="S26" i="6"/>
  <c r="T26" i="6" s="1"/>
  <c r="Q26" i="6"/>
  <c r="R26" i="6" s="1"/>
  <c r="K26" i="6"/>
  <c r="L26" i="6" s="1"/>
  <c r="O26" i="6"/>
  <c r="P26" i="6" s="1"/>
  <c r="M26" i="6"/>
  <c r="N26" i="6" s="1"/>
  <c r="I26" i="6"/>
  <c r="J26" i="6" s="1"/>
  <c r="G26" i="6"/>
  <c r="H26" i="6" s="1"/>
  <c r="E26" i="6"/>
  <c r="F26" i="6" s="1"/>
  <c r="C26" i="6"/>
  <c r="D26" i="6" s="1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22" i="4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27" i="5"/>
  <c r="R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X28" i="5"/>
  <c r="Z46" i="5" s="1"/>
  <c r="X29" i="5"/>
  <c r="Z47" i="5" s="1"/>
  <c r="X30" i="5"/>
  <c r="Z48" i="5" s="1"/>
  <c r="X31" i="5"/>
  <c r="Z49" i="5" s="1"/>
  <c r="X32" i="5"/>
  <c r="Z50" i="5" s="1"/>
  <c r="X33" i="5"/>
  <c r="Z51" i="5" s="1"/>
  <c r="X34" i="5"/>
  <c r="Z52" i="5" s="1"/>
  <c r="X35" i="5"/>
  <c r="Z53" i="5" s="1"/>
  <c r="X36" i="5"/>
  <c r="Z54" i="5" s="1"/>
  <c r="X37" i="5"/>
  <c r="Z55" i="5" s="1"/>
  <c r="X38" i="5"/>
  <c r="Z56" i="5" s="1"/>
  <c r="X39" i="5"/>
  <c r="Z57" i="5" s="1"/>
  <c r="X40" i="5"/>
  <c r="Z58" i="5" s="1"/>
  <c r="X41" i="5"/>
  <c r="Z59" i="5" s="1"/>
  <c r="X42" i="5"/>
  <c r="Z60" i="5" s="1"/>
  <c r="X27" i="5"/>
  <c r="AF32" i="5" s="1"/>
  <c r="Y27" i="5"/>
  <c r="Z27" i="5"/>
  <c r="AB27" i="5"/>
  <c r="AC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27" i="5"/>
  <c r="T27" i="5"/>
  <c r="V27" i="5"/>
  <c r="W27" i="5"/>
  <c r="R28" i="5"/>
  <c r="R29" i="5"/>
  <c r="T47" i="5" s="1"/>
  <c r="A48" i="5" s="1"/>
  <c r="R30" i="5"/>
  <c r="T48" i="5" s="1"/>
  <c r="A49" i="5" s="1"/>
  <c r="R31" i="5"/>
  <c r="T49" i="5" s="1"/>
  <c r="A50" i="5" s="1"/>
  <c r="R32" i="5"/>
  <c r="T50" i="5" s="1"/>
  <c r="A51" i="5" s="1"/>
  <c r="R33" i="5"/>
  <c r="T51" i="5" s="1"/>
  <c r="A52" i="5" s="1"/>
  <c r="R34" i="5"/>
  <c r="T52" i="5" s="1"/>
  <c r="A53" i="5" s="1"/>
  <c r="R35" i="5"/>
  <c r="T53" i="5" s="1"/>
  <c r="A54" i="5" s="1"/>
  <c r="R36" i="5"/>
  <c r="T54" i="5" s="1"/>
  <c r="A55" i="5" s="1"/>
  <c r="R37" i="5"/>
  <c r="T55" i="5" s="1"/>
  <c r="A56" i="5" s="1"/>
  <c r="R38" i="5"/>
  <c r="T56" i="5" s="1"/>
  <c r="A57" i="5" s="1"/>
  <c r="R39" i="5"/>
  <c r="T57" i="5" s="1"/>
  <c r="A58" i="5" s="1"/>
  <c r="R40" i="5"/>
  <c r="T58" i="5" s="1"/>
  <c r="A59" i="5" s="1"/>
  <c r="R41" i="5"/>
  <c r="T59" i="5" s="1"/>
  <c r="A60" i="5" s="1"/>
  <c r="R42" i="5"/>
  <c r="T60" i="5" s="1"/>
  <c r="A61" i="5" s="1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G33" i="3"/>
  <c r="F33" i="3"/>
  <c r="E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33" i="3"/>
  <c r="DQ45" i="2" a="1"/>
  <c r="DQ45" i="2"/>
  <c r="DQ46" i="2" a="1"/>
  <c r="DQ46" i="2"/>
  <c r="DQ47" i="2" a="1"/>
  <c r="DQ47" i="2"/>
  <c r="DQ48" i="2" a="1"/>
  <c r="DQ48" i="2"/>
  <c r="DQ44" i="2" a="1"/>
  <c r="DQ44" i="2"/>
  <c r="CM53" i="2"/>
  <c r="CS34" i="2"/>
  <c r="CN56" i="2"/>
  <c r="CO56" i="2"/>
  <c r="CP56" i="2"/>
  <c r="CQ56" i="2"/>
  <c r="CR56" i="2"/>
  <c r="CS56" i="2"/>
  <c r="CN55" i="2"/>
  <c r="CO55" i="2"/>
  <c r="CP55" i="2"/>
  <c r="CQ55" i="2"/>
  <c r="CR55" i="2"/>
  <c r="CS55" i="2"/>
  <c r="CM56" i="2"/>
  <c r="CT56" i="2" s="1"/>
  <c r="CM55" i="2"/>
  <c r="CT55" i="2" s="1"/>
  <c r="CN54" i="2"/>
  <c r="CO54" i="2"/>
  <c r="CP54" i="2"/>
  <c r="CQ54" i="2"/>
  <c r="CR54" i="2"/>
  <c r="CS54" i="2"/>
  <c r="CM54" i="2"/>
  <c r="CT54" i="2" s="1"/>
  <c r="CS53" i="2"/>
  <c r="CR53" i="2"/>
  <c r="CQ53" i="2"/>
  <c r="CP53" i="2"/>
  <c r="CO53" i="2"/>
  <c r="CN53" i="2"/>
  <c r="CT53" i="2" s="1"/>
  <c r="CS33" i="2"/>
  <c r="CM33" i="2"/>
  <c r="G49" i="2"/>
  <c r="CM38" i="2"/>
  <c r="DK45" i="2"/>
  <c r="DK46" i="2"/>
  <c r="DK47" i="2"/>
  <c r="DK48" i="2"/>
  <c r="DL45" i="2"/>
  <c r="DL46" i="2"/>
  <c r="DL47" i="2"/>
  <c r="DL48" i="2"/>
  <c r="DM45" i="2"/>
  <c r="DM46" i="2"/>
  <c r="DM47" i="2"/>
  <c r="DM48" i="2"/>
  <c r="DN45" i="2"/>
  <c r="DN46" i="2"/>
  <c r="DN47" i="2"/>
  <c r="DN48" i="2"/>
  <c r="DO45" i="2"/>
  <c r="DO46" i="2"/>
  <c r="DO47" i="2"/>
  <c r="DO48" i="2"/>
  <c r="DP45" i="2"/>
  <c r="DP46" i="2"/>
  <c r="DP47" i="2"/>
  <c r="DP48" i="2"/>
  <c r="DP44" i="2"/>
  <c r="DO44" i="2"/>
  <c r="DN44" i="2"/>
  <c r="DM44" i="2"/>
  <c r="DL44" i="2"/>
  <c r="DK44" i="2"/>
  <c r="DJ45" i="2"/>
  <c r="DJ46" i="2"/>
  <c r="DJ47" i="2"/>
  <c r="DJ48" i="2"/>
  <c r="DH45" i="2"/>
  <c r="DH46" i="2"/>
  <c r="DH47" i="2"/>
  <c r="DH48" i="2"/>
  <c r="DH44" i="2"/>
  <c r="DG45" i="2"/>
  <c r="DG46" i="2"/>
  <c r="DG47" i="2"/>
  <c r="DG48" i="2"/>
  <c r="DG44" i="2"/>
  <c r="DE45" i="2"/>
  <c r="DE46" i="2"/>
  <c r="DE47" i="2"/>
  <c r="DE48" i="2"/>
  <c r="DE44" i="2"/>
  <c r="DD45" i="2"/>
  <c r="DD46" i="2"/>
  <c r="DD47" i="2"/>
  <c r="DD48" i="2"/>
  <c r="DD44" i="2"/>
  <c r="DC45" i="2"/>
  <c r="DC46" i="2"/>
  <c r="DC47" i="2"/>
  <c r="DC48" i="2"/>
  <c r="DC44" i="2"/>
  <c r="DA40" i="2"/>
  <c r="DA39" i="2"/>
  <c r="DA38" i="2"/>
  <c r="DA37" i="2"/>
  <c r="DA35" i="2" a="1"/>
  <c r="DA35" i="2"/>
  <c r="DA34" i="2"/>
  <c r="DA33" i="2"/>
  <c r="CW40" i="2"/>
  <c r="CW39" i="2"/>
  <c r="CW38" i="2"/>
  <c r="CW37" i="2"/>
  <c r="CW35" i="2" a="1"/>
  <c r="CW35" i="2"/>
  <c r="CW34" i="2"/>
  <c r="CW33" i="2"/>
  <c r="CS40" i="2"/>
  <c r="CS39" i="2"/>
  <c r="CS38" i="2"/>
  <c r="CS37" i="2"/>
  <c r="CS35" i="2" a="1"/>
  <c r="CS35" i="2"/>
  <c r="CM40" i="2"/>
  <c r="CM39" i="2"/>
  <c r="CM37" i="2"/>
  <c r="CM34" i="2"/>
  <c r="CM35" i="2" a="1"/>
  <c r="CM35" i="2"/>
  <c r="G48" i="2"/>
  <c r="O54" i="2"/>
  <c r="P54" i="2" s="1"/>
  <c r="O53" i="2"/>
  <c r="P53" i="2" s="1"/>
  <c r="O52" i="2"/>
  <c r="P52" i="2" s="1"/>
  <c r="O51" i="2"/>
  <c r="P51" i="2" s="1"/>
  <c r="L52" i="2"/>
  <c r="L53" i="2"/>
  <c r="K51" i="2"/>
  <c r="L51" i="2" s="1"/>
  <c r="G51" i="2"/>
  <c r="H51" i="2" s="1"/>
  <c r="G52" i="2"/>
  <c r="H52" i="2" s="1"/>
  <c r="G46" i="2" a="1"/>
  <c r="G46" i="2"/>
  <c r="G45" i="2"/>
  <c r="G44" i="2"/>
  <c r="AF31" i="5" l="1"/>
  <c r="M5" i="8"/>
  <c r="L5" i="8"/>
  <c r="M26" i="8"/>
  <c r="L26" i="8"/>
  <c r="T46" i="5"/>
  <c r="A47" i="5" s="1"/>
  <c r="AF30" i="5"/>
  <c r="AF27" i="5"/>
  <c r="AF28" i="5"/>
  <c r="T45" i="5"/>
  <c r="T61" i="5" s="1"/>
  <c r="T62" i="5"/>
  <c r="Z45" i="5"/>
  <c r="A46" i="5" s="1"/>
  <c r="DF44" i="2"/>
  <c r="DF48" i="2"/>
  <c r="DF47" i="2"/>
  <c r="DF46" i="2"/>
  <c r="DF45" i="2"/>
  <c r="Z62" i="5" l="1"/>
  <c r="Z6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<sst xmlns="http://schemas.openxmlformats.org/spreadsheetml/2006/main" count="1161" uniqueCount="272">
  <si>
    <t>CASE</t>
  </si>
  <si>
    <t>DM02</t>
  </si>
  <si>
    <t>DM03</t>
  </si>
  <si>
    <t>DM04_01</t>
  </si>
  <si>
    <t>NE01_01</t>
  </si>
  <si>
    <t>NE02_01</t>
  </si>
  <si>
    <t>NE03_01</t>
  </si>
  <si>
    <t>NE04_01</t>
  </si>
  <si>
    <t>NE05_01</t>
  </si>
  <si>
    <t>NE06_01</t>
  </si>
  <si>
    <t>NZ01_01</t>
  </si>
  <si>
    <t>NZ02_01</t>
  </si>
  <si>
    <t>NZ03_01</t>
  </si>
  <si>
    <t>NZ04_01</t>
  </si>
  <si>
    <t>NZ05_01</t>
  </si>
  <si>
    <t>NZ06_01</t>
  </si>
  <si>
    <t>UE02_01</t>
  </si>
  <si>
    <t>UE02_02</t>
  </si>
  <si>
    <t>UE02_03</t>
  </si>
  <si>
    <t>UE02_04</t>
  </si>
  <si>
    <t>UE02_05</t>
  </si>
  <si>
    <t>UE02_06</t>
  </si>
  <si>
    <t>UE02_07</t>
  </si>
  <si>
    <t>UE02_08</t>
  </si>
  <si>
    <t>UE02_09</t>
  </si>
  <si>
    <t>UE02_10</t>
  </si>
  <si>
    <t>UE02_11</t>
  </si>
  <si>
    <t>UE02_12</t>
  </si>
  <si>
    <t>UE02_13</t>
  </si>
  <si>
    <t>UE02_14</t>
  </si>
  <si>
    <t>UE02_15</t>
  </si>
  <si>
    <t>UE02_16</t>
  </si>
  <si>
    <t>UE02_17</t>
  </si>
  <si>
    <t>UE02_18</t>
  </si>
  <si>
    <t>UE02_19</t>
  </si>
  <si>
    <t>UE02_20</t>
  </si>
  <si>
    <t>UE02_21</t>
  </si>
  <si>
    <t>UE02_22</t>
  </si>
  <si>
    <t>UE02_23</t>
  </si>
  <si>
    <t>UE02_24</t>
  </si>
  <si>
    <t>UE02_25</t>
  </si>
  <si>
    <t>UE02_26</t>
  </si>
  <si>
    <t>UZ02_01</t>
  </si>
  <si>
    <t>UZ02_02</t>
  </si>
  <si>
    <t>UZ02_03</t>
  </si>
  <si>
    <t>UZ02_04</t>
  </si>
  <si>
    <t>UZ02_05</t>
  </si>
  <si>
    <t>UZ02_06</t>
  </si>
  <si>
    <t>UZ02_07</t>
  </si>
  <si>
    <t>UZ02_08</t>
  </si>
  <si>
    <t>UZ02_09</t>
  </si>
  <si>
    <t>UZ02_10</t>
  </si>
  <si>
    <t>UZ02_11</t>
  </si>
  <si>
    <t>UZ02_12</t>
  </si>
  <si>
    <t>UZ02_13</t>
  </si>
  <si>
    <t>UZ02_14</t>
  </si>
  <si>
    <t>UZ02_15</t>
  </si>
  <si>
    <t>UZ02_16</t>
  </si>
  <si>
    <t>UZ02_17</t>
  </si>
  <si>
    <t>UZ02_18</t>
  </si>
  <si>
    <t>UZ02_19</t>
  </si>
  <si>
    <t>UZ02_20</t>
  </si>
  <si>
    <t>UZ02_21</t>
  </si>
  <si>
    <t>UZ02_22</t>
  </si>
  <si>
    <t>UZ02_23</t>
  </si>
  <si>
    <t>UZ02_24</t>
  </si>
  <si>
    <t>UZ02_25</t>
  </si>
  <si>
    <t>UZ02_26</t>
  </si>
  <si>
    <t>VE01_01</t>
  </si>
  <si>
    <t>VE05_02</t>
  </si>
  <si>
    <t>VE05_03</t>
  </si>
  <si>
    <t>VE05_04</t>
  </si>
  <si>
    <t>VE05_05</t>
  </si>
  <si>
    <t>VE05_06</t>
  </si>
  <si>
    <t>VE02_01</t>
  </si>
  <si>
    <t>VE03_01</t>
  </si>
  <si>
    <t>VE04_01</t>
  </si>
  <si>
    <t>Interview-Nummer (fortlaufend)</t>
  </si>
  <si>
    <t>Geschlecht</t>
  </si>
  <si>
    <t>Abschluss</t>
  </si>
  <si>
    <t>Fachbereich: [01]</t>
  </si>
  <si>
    <t>Geistige Anforderungen: [Keine Beschreibung] 01</t>
  </si>
  <si>
    <t>Körperliche Anforderungen : [Keine Beschreibung] 01</t>
  </si>
  <si>
    <t>Zeitliche Anforderungen : [Keine Beschreibung] 01</t>
  </si>
  <si>
    <t>Leistung: [Keine Beschreibung] 01</t>
  </si>
  <si>
    <t>Anstrengung: [Keine Beschreibung] 01</t>
  </si>
  <si>
    <t>Frustration: [Keine Beschreibung] 01</t>
  </si>
  <si>
    <t>UEQ: unerfreulich/erfreulich</t>
  </si>
  <si>
    <t>UEQ: unverständlich/verständlich</t>
  </si>
  <si>
    <t>UEQ: kreativ/phantasielos</t>
  </si>
  <si>
    <t>UEQ: leicht zu lernen/schwer zu lernen</t>
  </si>
  <si>
    <t>UEQ: wertvoll/minderwertig</t>
  </si>
  <si>
    <t>UEQ: langweilig/spannend</t>
  </si>
  <si>
    <t>UEQ: uninteressant/interessant</t>
  </si>
  <si>
    <t>UEQ: unberechenbar/voraussagbar</t>
  </si>
  <si>
    <t>UEQ: schnell/langsam</t>
  </si>
  <si>
    <t>UEQ: originell/konventionell</t>
  </si>
  <si>
    <t>UEQ: behindernd/unterstützend</t>
  </si>
  <si>
    <t>UEQ: gut/schlecht</t>
  </si>
  <si>
    <t>UEQ: kompliziert/einfach</t>
  </si>
  <si>
    <t>UEQ: abstoßend/anziehend</t>
  </si>
  <si>
    <t>UEQ: herkömmlich/neuartig</t>
  </si>
  <si>
    <t>UEQ: unangenehm/angenehm</t>
  </si>
  <si>
    <t>UEQ: sicher/unsicher</t>
  </si>
  <si>
    <t>UEQ: aktivierend/einschläfernd</t>
  </si>
  <si>
    <t>UEQ: erwartungskonform/nicht erwartungskonform</t>
  </si>
  <si>
    <t>UEQ: ineffizient/effizient</t>
  </si>
  <si>
    <t>UEQ: übersichtlich/verwirrend</t>
  </si>
  <si>
    <t>UEQ: unpragmatisch/pragmatisch</t>
  </si>
  <si>
    <t>UEQ: aufgeräumt/überladen</t>
  </si>
  <si>
    <t>UEQ: attraktiv/unattraktiv</t>
  </si>
  <si>
    <t>UEQ: sympathisch/unsympathisch</t>
  </si>
  <si>
    <t>UEQ: konservativ/innovativ</t>
  </si>
  <si>
    <t>Wissen: [Keine Beschreibung] 01</t>
  </si>
  <si>
    <t>Wissenstest: Neigungswinkel des Solarpanels</t>
  </si>
  <si>
    <t>Wissenstest: Ausrichtung zur Sonne (Himmelsrichtung)</t>
  </si>
  <si>
    <t>Wissenstest: Verschattung durch Bäume, Gebäude oder andere Hindernisse</t>
  </si>
  <si>
    <t>Wissenstest: Tageszeit</t>
  </si>
  <si>
    <t>Wissenstest: Farbe des Daches</t>
  </si>
  <si>
    <t>Arbeit mit 3D-Modellen: [Keine Beschreibung] 01</t>
  </si>
  <si>
    <t>Technologieaffinität: [Keine Beschreibung] 01</t>
  </si>
  <si>
    <t>Räumliche Vorstellungskraft: [Keine Beschreibung] 01</t>
  </si>
  <si>
    <t>Männlich</t>
  </si>
  <si>
    <t>kein Schulabschluss</t>
  </si>
  <si>
    <t>a</t>
  </si>
  <si>
    <t>Abitur / Fachabitur</t>
  </si>
  <si>
    <t>Informatik</t>
  </si>
  <si>
    <t>Weiblich</t>
  </si>
  <si>
    <t>Masterabschluss</t>
  </si>
  <si>
    <t>Elektrotechnik</t>
  </si>
  <si>
    <t>Bachelor Informatik</t>
  </si>
  <si>
    <t>Bachelorabschluss</t>
  </si>
  <si>
    <t>Fb3, Master Informatik</t>
  </si>
  <si>
    <t>FB3: Informatik Vollfach Studium</t>
  </si>
  <si>
    <t>FB3 Informatik</t>
  </si>
  <si>
    <t>Informatik (Vollfach)</t>
  </si>
  <si>
    <t>Offshore Windkraft</t>
  </si>
  <si>
    <t>Realschulabschluss / mittlere Reife</t>
  </si>
  <si>
    <t>Eletrotechnik</t>
  </si>
  <si>
    <t>Bautechnik</t>
  </si>
  <si>
    <t>DM01_01</t>
  </si>
  <si>
    <t>Farbkodierung:</t>
  </si>
  <si>
    <t>Altersgruppe: [01]</t>
  </si>
  <si>
    <t>Erster Durchlauf UEQ</t>
  </si>
  <si>
    <t>30</t>
  </si>
  <si>
    <t>Zweiter Durchlauf UEQ</t>
  </si>
  <si>
    <t>27</t>
  </si>
  <si>
    <t>Erster Durchlauf RTLX</t>
  </si>
  <si>
    <t>25</t>
  </si>
  <si>
    <t>Zweiter Durchlauf RTLX</t>
  </si>
  <si>
    <t>24</t>
  </si>
  <si>
    <t>31</t>
  </si>
  <si>
    <t>23</t>
  </si>
  <si>
    <t>22</t>
  </si>
  <si>
    <t>26</t>
  </si>
  <si>
    <t>59</t>
  </si>
  <si>
    <t>Person</t>
  </si>
  <si>
    <t>Alter</t>
  </si>
  <si>
    <t>Wie gut schätzen Sie Ihr Wissen darüber ein, welche Faktoren das Solarpotenzial beeinflussen?</t>
  </si>
  <si>
    <t>Wert</t>
  </si>
  <si>
    <t>Wie häufig arbeiten Sie mit 3D-Modellen, Karten oder räumlichen Visualisierungen?</t>
  </si>
  <si>
    <t>Wie technologieaffin schätzen Sie sich selbst ein?</t>
  </si>
  <si>
    <t>Wie gut können Sie sich räumliche Strukturen mental vorstellen?</t>
  </si>
  <si>
    <t>Median</t>
  </si>
  <si>
    <t>Mittelwert</t>
  </si>
  <si>
    <t>Modus</t>
  </si>
  <si>
    <t>Standard Abweichung</t>
  </si>
  <si>
    <t>IQR</t>
  </si>
  <si>
    <t>Q1</t>
  </si>
  <si>
    <t>Q3</t>
  </si>
  <si>
    <t>Fragen zu PV / Person</t>
  </si>
  <si>
    <t>STD</t>
  </si>
  <si>
    <t>Häufigkeiten</t>
  </si>
  <si>
    <t>MOD</t>
  </si>
  <si>
    <t>Neigungswinkel des Solarpanels</t>
  </si>
  <si>
    <t>Ausrichtung zur Sonne (Himmelsrichtung)</t>
  </si>
  <si>
    <t>Verschattung durch Bäume, Gebäude oder andere Hindernisse</t>
  </si>
  <si>
    <t>Tageszeit</t>
  </si>
  <si>
    <t>Farbe des Daches</t>
  </si>
  <si>
    <t>Teilnehmer</t>
  </si>
  <si>
    <t>Anteil</t>
  </si>
  <si>
    <t>Fachbereich</t>
  </si>
  <si>
    <t>Anzahl</t>
  </si>
  <si>
    <t>Abitur</t>
  </si>
  <si>
    <t>Realschule</t>
  </si>
  <si>
    <t>Summe</t>
  </si>
  <si>
    <t>Bachelor</t>
  </si>
  <si>
    <t>Master</t>
  </si>
  <si>
    <t>TUI-D</t>
  </si>
  <si>
    <t>TUI-KD</t>
  </si>
  <si>
    <t>Mittelwert TUI-KD</t>
  </si>
  <si>
    <t>Mittelwert TUI-D</t>
  </si>
  <si>
    <t>Median TUI-KD</t>
  </si>
  <si>
    <t>Median TUI-D</t>
  </si>
  <si>
    <t>RTL-Score-Diff</t>
  </si>
  <si>
    <t>RTLX-Score-TUI-D</t>
  </si>
  <si>
    <t>RTLX-Score-TUI-KD</t>
  </si>
  <si>
    <t>Mean</t>
  </si>
  <si>
    <t>Standardabweichung</t>
  </si>
  <si>
    <t>Teilnehmende</t>
  </si>
  <si>
    <t>Heatmap Reloads</t>
  </si>
  <si>
    <t>Rückkehr zur Übersicht</t>
  </si>
  <si>
    <t>Kamera Front</t>
  </si>
  <si>
    <t xml:space="preserve">Kamera Back </t>
  </si>
  <si>
    <t>Kamera Left</t>
  </si>
  <si>
    <t>Kamera Right</t>
  </si>
  <si>
    <t>Platzierungsfläche</t>
  </si>
  <si>
    <t>Winkeländerung</t>
  </si>
  <si>
    <t>Datumsänderung</t>
  </si>
  <si>
    <t>Summe Interaktionen</t>
  </si>
  <si>
    <t>Varianz</t>
  </si>
  <si>
    <t>Summen</t>
  </si>
  <si>
    <t>Mittelwerte</t>
  </si>
  <si>
    <t>Nachvollziehbarkeit der Energieproduktion Diff</t>
  </si>
  <si>
    <t>Motivation Diff</t>
  </si>
  <si>
    <t>Räumliche Orientierung Diff</t>
  </si>
  <si>
    <t>Interpretation der Energie-Heatmap Diff</t>
  </si>
  <si>
    <t>Bestimmung der optimalen Neigung Diff</t>
  </si>
  <si>
    <t>Teilnehmer:</t>
  </si>
  <si>
    <t>Skale</t>
  </si>
  <si>
    <t>„Wie gut konnten Sie nachvollziehen, warum eine bestimmte Position oder Neigung des Panels eine höhere Energieproduktion liefert?“</t>
  </si>
  <si>
    <t>(1 = überhaupt nicht nachvollziehbar, 7 = sehr gut nachvollziehbar)</t>
  </si>
  <si>
    <r>
      <t>„Wie motiviert waren Sie während der Interaktion mit dem System?“ </t>
    </r>
    <r>
      <rPr>
        <sz val="12"/>
        <color rgb="FF000000"/>
        <rFont val="Arial"/>
        <charset val="1"/>
      </rPr>
      <t> </t>
    </r>
  </si>
  <si>
    <t>(1 = überhaupt nicht motiviert, 7 = sehr motiviert) </t>
  </si>
  <si>
    <t>„Wie leicht fiel es Ihnen, die räumliche Orientierung am Modell zu erfassen?“</t>
  </si>
  <si>
    <t>(1 = sehr schwer, 7 = sehr leicht)</t>
  </si>
  <si>
    <t>„Wie leicht fiel es Ihnen, die Solardaten / Energie-Heatmap zu interpretieren?“</t>
  </si>
  <si>
    <t>„Wie leicht fiel es Ihnen, die optimale Neigung des Solarpanels zu bestimmen?“</t>
  </si>
  <si>
    <t>Q1:</t>
  </si>
  <si>
    <t>Q3:</t>
  </si>
  <si>
    <t>Median:</t>
  </si>
  <si>
    <t xml:space="preserve">Scale means per person </t>
  </si>
  <si>
    <t>Attraktivität</t>
  </si>
  <si>
    <t>Durchschaubarkeit</t>
  </si>
  <si>
    <t>Effizienz</t>
  </si>
  <si>
    <t>Steuerbarkeit</t>
  </si>
  <si>
    <t>Stimulation</t>
  </si>
  <si>
    <t>Originalität</t>
  </si>
  <si>
    <t>UEQ Scales (Mean and Variance)</t>
  </si>
  <si>
    <t>Differenzen</t>
  </si>
  <si>
    <t>Attraktivität D</t>
  </si>
  <si>
    <t>Durchschaubarkeit D</t>
  </si>
  <si>
    <t>Effizienz D</t>
  </si>
  <si>
    <t>Steuerbarkeit D</t>
  </si>
  <si>
    <t>Stimulation D</t>
  </si>
  <si>
    <t>Originalität D</t>
  </si>
  <si>
    <t>Benötigte Zeit TUI-D</t>
  </si>
  <si>
    <t>Benötigte Zeit TUI-KD</t>
  </si>
  <si>
    <t>Aufgabe 1</t>
  </si>
  <si>
    <t>Aufgabe 2</t>
  </si>
  <si>
    <t>Benötigte Zeit Diff</t>
  </si>
  <si>
    <t>Teilnehmende:</t>
  </si>
  <si>
    <t>Aufgabe 1 Mindestwert</t>
  </si>
  <si>
    <t>Koordinate</t>
  </si>
  <si>
    <t>Energy</t>
  </si>
  <si>
    <t>Aufgabe 2 Mindestwert</t>
  </si>
  <si>
    <t>[5,0]</t>
  </si>
  <si>
    <t>[5,1]</t>
  </si>
  <si>
    <t>[5,2]</t>
  </si>
  <si>
    <t>[5,3]</t>
  </si>
  <si>
    <t>[5,4]</t>
  </si>
  <si>
    <t>[6,0]</t>
  </si>
  <si>
    <t>[6,1]</t>
  </si>
  <si>
    <t>[6,2]</t>
  </si>
  <si>
    <t>[6,3]</t>
  </si>
  <si>
    <t>[6,4]</t>
  </si>
  <si>
    <t>Score TUI-KD:</t>
  </si>
  <si>
    <t>Score</t>
  </si>
  <si>
    <t>Score TUI-D:</t>
  </si>
  <si>
    <t>Score TUI</t>
  </si>
  <si>
    <t>Score GUI</t>
  </si>
  <si>
    <t>Score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</si>
</sst>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>
    <font>
      <sz val="10"/>
      <name val="Arial"/>
      <family val="2"/>
      <charset val="1"/>
    </font>
    <font>
      <sz val="11"/>
      <color rgb="FF242424"/>
      <name val="Aptos Narrow"/>
      <charset val="1"/>
    </font>
    <font>
      <sz val="10"/>
      <color rgb="FF000000"/>
      <name val="Arial"/>
      <family val="2"/>
      <charset val="1"/>
    </font>
    <font>
      <sz val="12"/>
      <color rgb="FF000000"/>
      <name val="WordVisi_MSFontService"/>
      <charset val="1"/>
    </font>
    <font>
      <sz val="12"/>
      <color rgb="FF000000"/>
      <name val="Arial"/>
      <charset val="1"/>
    </font>
    <font>
      <u/>
      <sz val="12"/>
      <color rgb="FF00000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  <xf numFmtId="164" fontId="0" fillId="0" borderId="0" xfId="0" applyNumberFormat="1" applyFont="1"/>
    <xf numFmtId="2" fontId="0" fillId="0" borderId="0" xfId="0" applyNumberFormat="1" applyFont="1"/>
    <xf numFmtId="0" fontId="0" fillId="0" borderId="0" xfId="0" applyFont="1"/>
    <xf numFmtId="0" fontId="0" fillId="0" borderId="1" xfId="0" applyFont="1" applyBorder="1"/>
    <xf numFmtId="1" fontId="0" fillId="0" borderId="1" xfId="0" applyNumberFormat="1" applyFont="1" applyBorder="1"/>
    <xf numFmtId="49" fontId="0" fillId="0" borderId="1" xfId="0" applyNumberFormat="1" applyFont="1" applyBorder="1"/>
    <xf numFmtId="2" fontId="0" fillId="0" borderId="1" xfId="0" applyNumberFormat="1" applyFont="1" applyBorder="1"/>
    <xf numFmtId="2" fontId="0" fillId="0" borderId="1" xfId="0" applyNumberFormat="1" applyFont="1" applyBorder="1" applyAlignment="1">
      <alignment horizontal="right"/>
    </xf>
    <xf numFmtId="2" fontId="0" fillId="0" borderId="0" xfId="0" applyNumberFormat="1" applyFont="1" applyBorder="1" applyAlignment="1">
      <alignment horizontal="right"/>
    </xf>
    <xf numFmtId="0" fontId="0" fillId="0" borderId="2" xfId="0" applyFont="1" applyBorder="1"/>
    <xf numFmtId="10" fontId="0" fillId="0" borderId="1" xfId="0" applyNumberFormat="1" applyFont="1" applyBorder="1"/>
    <xf numFmtId="2" fontId="0" fillId="0" borderId="1" xfId="0" applyNumberFormat="1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1" xfId="0" applyNumberFormat="1" applyFont="1" applyBorder="1"/>
    <xf numFmtId="0" fontId="1" fillId="0" borderId="0" xfId="0" applyFont="1"/>
    <xf numFmtId="0" fontId="1" fillId="0" borderId="1" xfId="0" applyFont="1" applyBorder="1"/>
    <xf numFmtId="1" fontId="0" fillId="0" borderId="4" xfId="0" applyNumberFormat="1" applyFont="1" applyBorder="1"/>
    <xf numFmtId="0" fontId="0" fillId="0" borderId="4" xfId="0" applyFont="1" applyBorder="1"/>
    <xf numFmtId="0" fontId="0" fillId="0" borderId="5" xfId="0" applyFont="1" applyBorder="1" applyAlignment="1">
      <alignment horizontal="center"/>
    </xf>
    <xf numFmtId="0" fontId="0" fillId="0" borderId="6" xfId="0" applyFont="1" applyBorder="1"/>
    <xf numFmtId="0" fontId="0" fillId="0" borderId="7" xfId="0" applyFont="1" applyBorder="1"/>
    <xf numFmtId="0" fontId="0" fillId="0" borderId="1" xfId="0" applyNumberFormat="1" applyFont="1" applyBorder="1" applyAlignment="1">
      <alignment horizontal="right"/>
    </xf>
    <xf numFmtId="0" fontId="0" fillId="0" borderId="4" xfId="0" applyNumberFormat="1" applyFont="1" applyBorder="1"/>
    <xf numFmtId="0" fontId="0" fillId="2" borderId="1" xfId="0" applyFont="1" applyFill="1" applyBorder="1"/>
    <xf numFmtId="1" fontId="0" fillId="2" borderId="1" xfId="0" applyNumberFormat="1" applyFont="1" applyFill="1" applyBorder="1"/>
    <xf numFmtId="0" fontId="0" fillId="3" borderId="1" xfId="0" applyFont="1" applyFill="1" applyBorder="1"/>
    <xf numFmtId="1" fontId="0" fillId="3" borderId="1" xfId="0" applyNumberFormat="1" applyFont="1" applyFill="1" applyBorder="1"/>
    <xf numFmtId="0" fontId="0" fillId="4" borderId="1" xfId="0" applyFont="1" applyFill="1" applyBorder="1"/>
    <xf numFmtId="1" fontId="0" fillId="4" borderId="1" xfId="0" applyNumberFormat="1" applyFont="1" applyFill="1" applyBorder="1"/>
    <xf numFmtId="0" fontId="0" fillId="5" borderId="1" xfId="0" applyFont="1" applyFill="1" applyBorder="1"/>
    <xf numFmtId="1" fontId="0" fillId="5" borderId="1" xfId="0" applyNumberFormat="1" applyFont="1" applyFill="1" applyBorder="1"/>
    <xf numFmtId="0" fontId="0" fillId="0" borderId="0" xfId="0" applyFont="1" applyBorder="1"/>
    <xf numFmtId="0" fontId="0" fillId="0" borderId="3" xfId="0" applyFont="1" applyBorder="1"/>
    <xf numFmtId="1" fontId="0" fillId="0" borderId="0" xfId="0" applyNumberFormat="1" applyFill="1" applyBorder="1"/>
    <xf numFmtId="1" fontId="0" fillId="5" borderId="3" xfId="0" applyNumberFormat="1" applyFont="1" applyFill="1" applyBorder="1"/>
    <xf numFmtId="1" fontId="0" fillId="4" borderId="3" xfId="0" applyNumberFormat="1" applyFont="1" applyFill="1" applyBorder="1"/>
    <xf numFmtId="0" fontId="2" fillId="6" borderId="1" xfId="0" applyFont="1" applyFill="1" applyBorder="1"/>
    <xf numFmtId="1" fontId="0" fillId="6" borderId="1" xfId="0" applyNumberFormat="1" applyFont="1" applyFill="1" applyBorder="1"/>
    <xf numFmtId="0" fontId="0" fillId="6" borderId="0" xfId="0" applyFont="1" applyFill="1"/>
    <xf numFmtId="0" fontId="0" fillId="2" borderId="0" xfId="0" applyFont="1" applyFill="1"/>
    <xf numFmtId="0" fontId="0" fillId="0" borderId="10" xfId="0" applyFont="1" applyBorder="1"/>
    <xf numFmtId="0" fontId="0" fillId="0" borderId="0" xfId="0" applyFont="1" applyAlignment="1">
      <alignment horizontal="left"/>
    </xf>
    <xf numFmtId="0" fontId="0" fillId="3" borderId="0" xfId="0" applyFont="1" applyFill="1"/>
    <xf numFmtId="0" fontId="0" fillId="2" borderId="0" xfId="0" applyNumberFormat="1" applyFont="1" applyFill="1"/>
    <xf numFmtId="0" fontId="0" fillId="3" borderId="0" xfId="0" applyNumberFormat="1" applyFont="1" applyFill="1"/>
    <xf numFmtId="0" fontId="0" fillId="0" borderId="0" xfId="0" applyNumberFormat="1" applyFont="1"/>
    <xf numFmtId="0" fontId="0" fillId="7" borderId="4" xfId="0" applyFont="1" applyFill="1" applyBorder="1"/>
    <xf numFmtId="0" fontId="0" fillId="7" borderId="8" xfId="0" applyFont="1" applyFill="1" applyBorder="1"/>
    <xf numFmtId="0" fontId="0" fillId="7" borderId="9" xfId="0" applyFont="1" applyFill="1" applyBorder="1"/>
    <xf numFmtId="0" fontId="0" fillId="2" borderId="0" xfId="0" applyFont="1" applyFill="1" applyBorder="1"/>
    <xf numFmtId="0" fontId="0" fillId="3" borderId="6" xfId="0" applyFont="1" applyFill="1" applyBorder="1"/>
    <xf numFmtId="0" fontId="0" fillId="3" borderId="11" xfId="0" applyFont="1" applyFill="1" applyBorder="1"/>
    <xf numFmtId="0" fontId="0" fillId="2" borderId="6" xfId="0" applyFont="1" applyFill="1" applyBorder="1"/>
    <xf numFmtId="0" fontId="0" fillId="2" borderId="11" xfId="0" applyFont="1" applyFill="1" applyBorder="1"/>
    <xf numFmtId="0" fontId="0" fillId="3" borderId="0" xfId="0" applyFont="1" applyFill="1" applyBorder="1"/>
    <xf numFmtId="0" fontId="0" fillId="7" borderId="0" xfId="0" applyFont="1" applyFill="1"/>
    <xf numFmtId="0" fontId="0" fillId="7" borderId="12" xfId="0" applyFont="1" applyFill="1" applyBorder="1"/>
    <xf numFmtId="0" fontId="0" fillId="7" borderId="0" xfId="0" applyFont="1" applyFill="1" applyBorder="1"/>
    <xf numFmtId="0" fontId="0" fillId="7" borderId="11" xfId="0" applyFont="1" applyFill="1" applyBorder="1"/>
    <xf numFmtId="0" fontId="0" fillId="3" borderId="0" xfId="0" applyFont="1" applyFill="1" applyBorder="1" applyAlignment="1"/>
    <xf numFmtId="0" fontId="0" fillId="2" borderId="11" xfId="0" applyNumberFormat="1" applyFont="1" applyFill="1" applyBorder="1"/>
    <xf numFmtId="0" fontId="0" fillId="3" borderId="1" xfId="0" applyFont="1" applyFill="1" applyBorder="1" applyAlignment="1"/>
    <xf numFmtId="0" fontId="0" fillId="2" borderId="2" xfId="0" applyFont="1" applyFill="1" applyBorder="1"/>
    <xf numFmtId="0" fontId="0" fillId="3" borderId="2" xfId="0" applyFont="1" applyFill="1" applyBorder="1"/>
    <xf numFmtId="0" fontId="0" fillId="3" borderId="2" xfId="0" applyFont="1" applyFill="1" applyBorder="1" applyAlignment="1"/>
    <xf numFmtId="0" fontId="0" fillId="2" borderId="2" xfId="0" applyFont="1" applyFill="1" applyBorder="1" applyAlignment="1"/>
    <xf numFmtId="0" fontId="0" fillId="2" borderId="1" xfId="0" applyNumberFormat="1" applyFont="1" applyFill="1" applyBorder="1"/>
    <xf numFmtId="0" fontId="3" fillId="0" borderId="1" xfId="0" applyFont="1" applyBorder="1"/>
    <xf numFmtId="0" fontId="4" fillId="0" borderId="1" xfId="0" applyFont="1" applyBorder="1"/>
    <xf numFmtId="0" fontId="0" fillId="0" borderId="9" xfId="0" applyFont="1" applyBorder="1"/>
    <xf numFmtId="0" fontId="5" fillId="0" borderId="3" xfId="0" applyFont="1" applyBorder="1"/>
    <xf numFmtId="49" fontId="0" fillId="0" borderId="0" xfId="0" applyNumberFormat="1" applyFont="1" applyBorder="1"/>
    <xf numFmtId="1" fontId="0" fillId="0" borderId="9" xfId="0" applyNumberFormat="1" applyFont="1" applyBorder="1"/>
    <xf numFmtId="1" fontId="0" fillId="0" borderId="0" xfId="0" applyNumberFormat="1" applyFont="1" applyBorder="1"/>
    <xf numFmtId="164" fontId="0" fillId="0" borderId="0" xfId="0" applyNumberFormat="1" applyFont="1" applyBorder="1"/>
    <xf numFmtId="2" fontId="0" fillId="0" borderId="0" xfId="0" applyNumberFormat="1" applyFont="1" applyBorder="1"/>
    <xf numFmtId="49" fontId="0" fillId="0" borderId="4" xfId="0" applyNumberFormat="1" applyFont="1" applyBorder="1"/>
    <xf numFmtId="0" fontId="0" fillId="4" borderId="9" xfId="0" applyFont="1" applyFill="1" applyBorder="1"/>
    <xf numFmtId="1" fontId="0" fillId="4" borderId="9" xfId="0" applyNumberFormat="1" applyFont="1" applyFill="1" applyBorder="1"/>
    <xf numFmtId="0" fontId="0" fillId="4" borderId="0" xfId="0" applyFont="1" applyFill="1"/>
    <xf numFmtId="0" fontId="0" fillId="5" borderId="0" xfId="0" applyFont="1" applyFill="1"/>
    <xf numFmtId="0" fontId="0" fillId="0" borderId="1" xfId="0" applyFont="1" applyBorder="1" applyAlignment="1">
      <alignment horizontal="left"/>
    </xf>
    <xf numFmtId="0" fontId="0" fillId="0" borderId="14" xfId="0" applyFont="1" applyBorder="1"/>
    <xf numFmtId="0" fontId="0" fillId="0" borderId="15" xfId="0" applyFont="1" applyBorder="1"/>
    <xf numFmtId="0" fontId="0" fillId="0" borderId="13" xfId="0" applyFont="1" applyBorder="1" applyAlignment="1">
      <alignment horizontal="left"/>
    </xf>
    <xf numFmtId="0" fontId="0" fillId="0" borderId="13" xfId="0" applyFont="1" applyBorder="1"/>
    <xf numFmtId="0" fontId="3" fillId="0" borderId="4" xfId="0" applyFont="1" applyBorder="1"/>
    <xf numFmtId="0" fontId="4" fillId="0" borderId="4" xfId="0" applyFont="1" applyBorder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0" xfId="0" applyNumberFormat="1" applyFont="1" applyBorder="1"/>
    <xf numFmtId="0" fontId="0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8" borderId="4" xfId="0" applyFont="1" applyFill="1" applyBorder="1" applyAlignment="1">
      <alignment horizontal="center"/>
    </xf>
    <xf numFmtId="0" fontId="0" fillId="8" borderId="9" xfId="0" applyFont="1" applyFill="1" applyBorder="1" applyAlignment="1">
      <alignment horizontal="center"/>
    </xf>
    <xf numFmtId="0" fontId="0" fillId="9" borderId="8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Antwortverteilung Vorerfahrung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v>1</c:v>
          </c:tx>
          <c:spPr>
            <a:solidFill>
              <a:srgbClr val="D9301D"/>
            </a:solidFill>
            <a:ln>
              <a:noFill/>
            </a:ln>
            <a:effectLst/>
          </c:spPr>
          <c:invertIfNegative val="0"/>
          <c:cat>
            <c:strRef>
              <c:f>'Raw-Data'!CL53:CL56</c:f>
              <c:strCache>
                <c:ptCount val="4"/>
                <c:pt idx="0">
                  <c:v>Wie gut schätzen Sie Ihr Wissen darüber ein, welche Faktoren das Solarpotenzial beeinflussen?</c:v>
                </c:pt>
                <c:pt idx="1">
                  <c:v>Wie häufig arbeiten Sie mit 3D-Modellen, Karten oder räumlichen Visualisierungen?</c:v>
                </c:pt>
                <c:pt idx="2">
                  <c:v>Wie technologieaffin schätzen Sie sich selbst ein?</c:v>
                </c:pt>
                <c:pt idx="3">
                  <c:v>Wie gut können Sie sich räumliche Strukturen mental vorstellen?</c:v>
                </c:pt>
              </c:strCache>
            </c:strRef>
          </c:cat>
          <c:val>
            <c:numRef>
              <c:f>'Raw-Data'!CM53:CM56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2-4674-8C7E-934325BADCAE}"/>
            </c:ext>
          </c:extLst>
        </c:ser>
        <c:ser>
          <c:idx val="1"/>
          <c:order val="1"/>
          <c:tx>
            <c:v>2</c:v>
          </c:tx>
          <c:spPr>
            <a:solidFill>
              <a:srgbClr val="FF6F38"/>
            </a:solidFill>
            <a:ln>
              <a:noFill/>
            </a:ln>
            <a:effectLst/>
          </c:spPr>
          <c:invertIfNegative val="0"/>
          <c:cat>
            <c:strRef>
              <c:f>'Raw-Data'!CL53:CL56</c:f>
              <c:strCache>
                <c:ptCount val="4"/>
                <c:pt idx="0">
                  <c:v>Wie gut schätzen Sie Ihr Wissen darüber ein, welche Faktoren das Solarpotenzial beeinflussen?</c:v>
                </c:pt>
                <c:pt idx="1">
                  <c:v>Wie häufig arbeiten Sie mit 3D-Modellen, Karten oder räumlichen Visualisierungen?</c:v>
                </c:pt>
                <c:pt idx="2">
                  <c:v>Wie technologieaffin schätzen Sie sich selbst ein?</c:v>
                </c:pt>
                <c:pt idx="3">
                  <c:v>Wie gut können Sie sich räumliche Strukturen mental vorstellen?</c:v>
                </c:pt>
              </c:strCache>
            </c:strRef>
          </c:cat>
          <c:val>
            <c:numRef>
              <c:f>'Raw-Data'!CN53:CN56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0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E2-4674-8C7E-934325BADCAE}"/>
            </c:ext>
          </c:extLst>
        </c:ser>
        <c:ser>
          <c:idx val="2"/>
          <c:order val="2"/>
          <c:tx>
            <c:v>3</c:v>
          </c:tx>
          <c:spPr>
            <a:solidFill>
              <a:srgbClr val="FEA234"/>
            </a:solidFill>
            <a:ln>
              <a:noFill/>
            </a:ln>
            <a:effectLst/>
          </c:spPr>
          <c:invertIfNegative val="0"/>
          <c:cat>
            <c:strRef>
              <c:f>'Raw-Data'!CL53:CL56</c:f>
              <c:strCache>
                <c:ptCount val="4"/>
                <c:pt idx="0">
                  <c:v>Wie gut schätzen Sie Ihr Wissen darüber ein, welche Faktoren das Solarpotenzial beeinflussen?</c:v>
                </c:pt>
                <c:pt idx="1">
                  <c:v>Wie häufig arbeiten Sie mit 3D-Modellen, Karten oder räumlichen Visualisierungen?</c:v>
                </c:pt>
                <c:pt idx="2">
                  <c:v>Wie technologieaffin schätzen Sie sich selbst ein?</c:v>
                </c:pt>
                <c:pt idx="3">
                  <c:v>Wie gut können Sie sich räumliche Strukturen mental vorstellen?</c:v>
                </c:pt>
              </c:strCache>
            </c:strRef>
          </c:cat>
          <c:val>
            <c:numRef>
              <c:f>'Raw-Data'!CO53:CO56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E2-4674-8C7E-934325BADCAE}"/>
            </c:ext>
          </c:extLst>
        </c:ser>
        <c:ser>
          <c:idx val="3"/>
          <c:order val="3"/>
          <c:tx>
            <c:v>4</c:v>
          </c:tx>
          <c:spPr>
            <a:solidFill>
              <a:srgbClr val="B4B4B4"/>
            </a:solidFill>
            <a:ln>
              <a:noFill/>
            </a:ln>
            <a:effectLst/>
          </c:spPr>
          <c:invertIfNegative val="0"/>
          <c:cat>
            <c:strRef>
              <c:f>'Raw-Data'!CL53:CL56</c:f>
              <c:strCache>
                <c:ptCount val="4"/>
                <c:pt idx="0">
                  <c:v>Wie gut schätzen Sie Ihr Wissen darüber ein, welche Faktoren das Solarpotenzial beeinflussen?</c:v>
                </c:pt>
                <c:pt idx="1">
                  <c:v>Wie häufig arbeiten Sie mit 3D-Modellen, Karten oder räumlichen Visualisierungen?</c:v>
                </c:pt>
                <c:pt idx="2">
                  <c:v>Wie technologieaffin schätzen Sie sich selbst ein?</c:v>
                </c:pt>
                <c:pt idx="3">
                  <c:v>Wie gut können Sie sich räumliche Strukturen mental vorstellen?</c:v>
                </c:pt>
              </c:strCache>
            </c:strRef>
          </c:cat>
          <c:val>
            <c:numRef>
              <c:f>'Raw-Data'!CP53:CP56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E2-4674-8C7E-934325BADCAE}"/>
            </c:ext>
          </c:extLst>
        </c:ser>
        <c:ser>
          <c:idx val="4"/>
          <c:order val="4"/>
          <c:tx>
            <c:v>5</c:v>
          </c:tx>
          <c:spPr>
            <a:solidFill>
              <a:srgbClr val="D2F68A"/>
            </a:solidFill>
            <a:ln>
              <a:noFill/>
            </a:ln>
            <a:effectLst/>
          </c:spPr>
          <c:invertIfNegative val="0"/>
          <c:cat>
            <c:strRef>
              <c:f>'Raw-Data'!CL53:CL56</c:f>
              <c:strCache>
                <c:ptCount val="4"/>
                <c:pt idx="0">
                  <c:v>Wie gut schätzen Sie Ihr Wissen darüber ein, welche Faktoren das Solarpotenzial beeinflussen?</c:v>
                </c:pt>
                <c:pt idx="1">
                  <c:v>Wie häufig arbeiten Sie mit 3D-Modellen, Karten oder räumlichen Visualisierungen?</c:v>
                </c:pt>
                <c:pt idx="2">
                  <c:v>Wie technologieaffin schätzen Sie sich selbst ein?</c:v>
                </c:pt>
                <c:pt idx="3">
                  <c:v>Wie gut können Sie sich räumliche Strukturen mental vorstellen?</c:v>
                </c:pt>
              </c:strCache>
            </c:strRef>
          </c:cat>
          <c:val>
            <c:numRef>
              <c:f>'Raw-Data'!CQ53:CQ56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6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E2-4674-8C7E-934325BADCAE}"/>
            </c:ext>
          </c:extLst>
        </c:ser>
        <c:ser>
          <c:idx val="5"/>
          <c:order val="5"/>
          <c:tx>
            <c:v>6</c:v>
          </c:tx>
          <c:spPr>
            <a:solidFill>
              <a:srgbClr val="72B32F"/>
            </a:solidFill>
            <a:ln>
              <a:noFill/>
            </a:ln>
            <a:effectLst/>
          </c:spPr>
          <c:invertIfNegative val="0"/>
          <c:cat>
            <c:strRef>
              <c:f>'Raw-Data'!CL53:CL56</c:f>
              <c:strCache>
                <c:ptCount val="4"/>
                <c:pt idx="0">
                  <c:v>Wie gut schätzen Sie Ihr Wissen darüber ein, welche Faktoren das Solarpotenzial beeinflussen?</c:v>
                </c:pt>
                <c:pt idx="1">
                  <c:v>Wie häufig arbeiten Sie mit 3D-Modellen, Karten oder räumlichen Visualisierungen?</c:v>
                </c:pt>
                <c:pt idx="2">
                  <c:v>Wie technologieaffin schätzen Sie sich selbst ein?</c:v>
                </c:pt>
                <c:pt idx="3">
                  <c:v>Wie gut können Sie sich räumliche Strukturen mental vorstellen?</c:v>
                </c:pt>
              </c:strCache>
            </c:strRef>
          </c:cat>
          <c:val>
            <c:numRef>
              <c:f>'Raw-Data'!CR53:CR56</c:f>
              <c:numCache>
                <c:formatCode>General</c:formatCode>
                <c:ptCount val="4"/>
                <c:pt idx="0">
                  <c:v>4</c:v>
                </c:pt>
                <c:pt idx="1">
                  <c:v>2</c:v>
                </c:pt>
                <c:pt idx="2">
                  <c:v>6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6E2-4674-8C7E-934325BADCAE}"/>
            </c:ext>
          </c:extLst>
        </c:ser>
        <c:ser>
          <c:idx val="6"/>
          <c:order val="6"/>
          <c:tx>
            <c:strRef>
              <c:f>{"7"}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rgbClr val="4B881D"/>
            </a:solidFill>
            <a:ln>
              <a:noFill/>
            </a:ln>
            <a:effectLst/>
          </c:spPr>
          <c:invertIfNegative val="0"/>
          <c:cat>
            <c:strRef>
              <c:f>'Raw-Data'!CL53:CL56</c:f>
              <c:strCache>
                <c:ptCount val="4"/>
                <c:pt idx="0">
                  <c:v>Wie gut schätzen Sie Ihr Wissen darüber ein, welche Faktoren das Solarpotenzial beeinflussen?</c:v>
                </c:pt>
                <c:pt idx="1">
                  <c:v>Wie häufig arbeiten Sie mit 3D-Modellen, Karten oder räumlichen Visualisierungen?</c:v>
                </c:pt>
                <c:pt idx="2">
                  <c:v>Wie technologieaffin schätzen Sie sich selbst ein?</c:v>
                </c:pt>
                <c:pt idx="3">
                  <c:v>Wie gut können Sie sich räumliche Strukturen mental vorstellen?</c:v>
                </c:pt>
              </c:strCache>
            </c:strRef>
          </c:cat>
          <c:val>
            <c:numRef>
              <c:f>'Raw-Data'!CS53:CS56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6E2-4674-8C7E-934325BAD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7233776"/>
        <c:axId val="577229184"/>
      </c:barChart>
      <c:catAx>
        <c:axId val="577233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229184"/>
        <c:crosses val="autoZero"/>
        <c:auto val="1"/>
        <c:lblAlgn val="ctr"/>
        <c:lblOffset val="100"/>
        <c:noMultiLvlLbl val="0"/>
      </c:catAx>
      <c:valAx>
        <c:axId val="57722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in"/>
        <c:minorTickMark val="in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23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Antwortverteilung zur Wichtigkeit der Solareinflussfaktoren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v>1</c:v>
          </c:tx>
          <c:spPr>
            <a:solidFill>
              <a:srgbClr val="D9301D"/>
            </a:solidFill>
            <a:ln>
              <a:noFill/>
            </a:ln>
            <a:effectLst/>
          </c:spPr>
          <c:invertIfNegative val="0"/>
          <c:cat>
            <c:strRef>
              <c:f>'Raw-Data'!CL44:CL48</c:f>
              <c:strCache>
                <c:ptCount val="5"/>
                <c:pt idx="0">
                  <c:v>Neigungswinkel des Solarpanels</c:v>
                </c:pt>
                <c:pt idx="1">
                  <c:v>Ausrichtung zur Sonne (Himmelsrichtung)</c:v>
                </c:pt>
                <c:pt idx="2">
                  <c:v>Verschattung durch Bäume, Gebäude oder andere Hindernisse</c:v>
                </c:pt>
                <c:pt idx="3">
                  <c:v>Tageszeit</c:v>
                </c:pt>
                <c:pt idx="4">
                  <c:v>Farbe des Daches</c:v>
                </c:pt>
              </c:strCache>
            </c:strRef>
          </c:cat>
          <c:val>
            <c:numRef>
              <c:f>'Raw-Data'!DJ44:DJ48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FD-4F60-9CDD-47C150DBD930}"/>
            </c:ext>
          </c:extLst>
        </c:ser>
        <c:ser>
          <c:idx val="1"/>
          <c:order val="1"/>
          <c:tx>
            <c:v>2</c:v>
          </c:tx>
          <c:spPr>
            <a:solidFill>
              <a:srgbClr val="FF6F38"/>
            </a:solidFill>
            <a:ln>
              <a:noFill/>
            </a:ln>
            <a:effectLst/>
          </c:spPr>
          <c:invertIfNegative val="0"/>
          <c:cat>
            <c:strRef>
              <c:f>'Raw-Data'!CL44:CL48</c:f>
              <c:strCache>
                <c:ptCount val="5"/>
                <c:pt idx="0">
                  <c:v>Neigungswinkel des Solarpanels</c:v>
                </c:pt>
                <c:pt idx="1">
                  <c:v>Ausrichtung zur Sonne (Himmelsrichtung)</c:v>
                </c:pt>
                <c:pt idx="2">
                  <c:v>Verschattung durch Bäume, Gebäude oder andere Hindernisse</c:v>
                </c:pt>
                <c:pt idx="3">
                  <c:v>Tageszeit</c:v>
                </c:pt>
                <c:pt idx="4">
                  <c:v>Farbe des Daches</c:v>
                </c:pt>
              </c:strCache>
            </c:strRef>
          </c:cat>
          <c:val>
            <c:numRef>
              <c:f>'Raw-Data'!DK44:DK48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FD-4F60-9CDD-47C150DBD930}"/>
            </c:ext>
          </c:extLst>
        </c:ser>
        <c:ser>
          <c:idx val="2"/>
          <c:order val="2"/>
          <c:tx>
            <c:v>3</c:v>
          </c:tx>
          <c:spPr>
            <a:solidFill>
              <a:srgbClr val="FEA234"/>
            </a:solidFill>
            <a:ln>
              <a:noFill/>
            </a:ln>
            <a:effectLst/>
          </c:spPr>
          <c:invertIfNegative val="0"/>
          <c:cat>
            <c:strRef>
              <c:f>'Raw-Data'!CL44:CL48</c:f>
              <c:strCache>
                <c:ptCount val="5"/>
                <c:pt idx="0">
                  <c:v>Neigungswinkel des Solarpanels</c:v>
                </c:pt>
                <c:pt idx="1">
                  <c:v>Ausrichtung zur Sonne (Himmelsrichtung)</c:v>
                </c:pt>
                <c:pt idx="2">
                  <c:v>Verschattung durch Bäume, Gebäude oder andere Hindernisse</c:v>
                </c:pt>
                <c:pt idx="3">
                  <c:v>Tageszeit</c:v>
                </c:pt>
                <c:pt idx="4">
                  <c:v>Farbe des Daches</c:v>
                </c:pt>
              </c:strCache>
            </c:strRef>
          </c:cat>
          <c:val>
            <c:numRef>
              <c:f>'Raw-Data'!DL44:DL48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FD-4F60-9CDD-47C150DBD930}"/>
            </c:ext>
          </c:extLst>
        </c:ser>
        <c:ser>
          <c:idx val="3"/>
          <c:order val="3"/>
          <c:tx>
            <c:v>4</c:v>
          </c:tx>
          <c:spPr>
            <a:solidFill>
              <a:srgbClr val="B4B4B4"/>
            </a:solidFill>
            <a:ln>
              <a:noFill/>
            </a:ln>
            <a:effectLst/>
          </c:spPr>
          <c:invertIfNegative val="0"/>
          <c:cat>
            <c:strRef>
              <c:f>'Raw-Data'!CL44:CL48</c:f>
              <c:strCache>
                <c:ptCount val="5"/>
                <c:pt idx="0">
                  <c:v>Neigungswinkel des Solarpanels</c:v>
                </c:pt>
                <c:pt idx="1">
                  <c:v>Ausrichtung zur Sonne (Himmelsrichtung)</c:v>
                </c:pt>
                <c:pt idx="2">
                  <c:v>Verschattung durch Bäume, Gebäude oder andere Hindernisse</c:v>
                </c:pt>
                <c:pt idx="3">
                  <c:v>Tageszeit</c:v>
                </c:pt>
                <c:pt idx="4">
                  <c:v>Farbe des Daches</c:v>
                </c:pt>
              </c:strCache>
            </c:strRef>
          </c:cat>
          <c:val>
            <c:numRef>
              <c:f>'Raw-Data'!DM44:DM48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FD-4F60-9CDD-47C150DBD930}"/>
            </c:ext>
          </c:extLst>
        </c:ser>
        <c:ser>
          <c:idx val="4"/>
          <c:order val="4"/>
          <c:tx>
            <c:v>5</c:v>
          </c:tx>
          <c:spPr>
            <a:solidFill>
              <a:srgbClr val="D2F68A"/>
            </a:solidFill>
            <a:ln>
              <a:noFill/>
            </a:ln>
            <a:effectLst/>
          </c:spPr>
          <c:invertIfNegative val="0"/>
          <c:cat>
            <c:strRef>
              <c:f>'Raw-Data'!CL44:CL48</c:f>
              <c:strCache>
                <c:ptCount val="5"/>
                <c:pt idx="0">
                  <c:v>Neigungswinkel des Solarpanels</c:v>
                </c:pt>
                <c:pt idx="1">
                  <c:v>Ausrichtung zur Sonne (Himmelsrichtung)</c:v>
                </c:pt>
                <c:pt idx="2">
                  <c:v>Verschattung durch Bäume, Gebäude oder andere Hindernisse</c:v>
                </c:pt>
                <c:pt idx="3">
                  <c:v>Tageszeit</c:v>
                </c:pt>
                <c:pt idx="4">
                  <c:v>Farbe des Daches</c:v>
                </c:pt>
              </c:strCache>
            </c:strRef>
          </c:cat>
          <c:val>
            <c:numRef>
              <c:f>'Raw-Data'!DN44:DN48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FD-4F60-9CDD-47C150DBD930}"/>
            </c:ext>
          </c:extLst>
        </c:ser>
        <c:ser>
          <c:idx val="5"/>
          <c:order val="5"/>
          <c:tx>
            <c:v>6</c:v>
          </c:tx>
          <c:spPr>
            <a:solidFill>
              <a:srgbClr val="72B32F"/>
            </a:solidFill>
            <a:ln>
              <a:noFill/>
            </a:ln>
            <a:effectLst/>
          </c:spPr>
          <c:invertIfNegative val="0"/>
          <c:cat>
            <c:strRef>
              <c:f>'Raw-Data'!CL44:CL48</c:f>
              <c:strCache>
                <c:ptCount val="5"/>
                <c:pt idx="0">
                  <c:v>Neigungswinkel des Solarpanels</c:v>
                </c:pt>
                <c:pt idx="1">
                  <c:v>Ausrichtung zur Sonne (Himmelsrichtung)</c:v>
                </c:pt>
                <c:pt idx="2">
                  <c:v>Verschattung durch Bäume, Gebäude oder andere Hindernisse</c:v>
                </c:pt>
                <c:pt idx="3">
                  <c:v>Tageszeit</c:v>
                </c:pt>
                <c:pt idx="4">
                  <c:v>Farbe des Daches</c:v>
                </c:pt>
              </c:strCache>
            </c:strRef>
          </c:cat>
          <c:val>
            <c:numRef>
              <c:f>'Raw-Data'!DO44:DO48</c:f>
              <c:numCache>
                <c:formatCode>General</c:formatCode>
                <c:ptCount val="5"/>
                <c:pt idx="0">
                  <c:v>6</c:v>
                </c:pt>
                <c:pt idx="1">
                  <c:v>4</c:v>
                </c:pt>
                <c:pt idx="2">
                  <c:v>7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DFD-4F60-9CDD-47C150DBD930}"/>
            </c:ext>
          </c:extLst>
        </c:ser>
        <c:ser>
          <c:idx val="6"/>
          <c:order val="6"/>
          <c:tx>
            <c:strRef>
              <c:f>{"7"}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rgbClr val="4B881D"/>
            </a:solidFill>
            <a:ln>
              <a:noFill/>
            </a:ln>
            <a:effectLst/>
          </c:spPr>
          <c:invertIfNegative val="0"/>
          <c:cat>
            <c:strRef>
              <c:f>'Raw-Data'!CL44:CL48</c:f>
              <c:strCache>
                <c:ptCount val="5"/>
                <c:pt idx="0">
                  <c:v>Neigungswinkel des Solarpanels</c:v>
                </c:pt>
                <c:pt idx="1">
                  <c:v>Ausrichtung zur Sonne (Himmelsrichtung)</c:v>
                </c:pt>
                <c:pt idx="2">
                  <c:v>Verschattung durch Bäume, Gebäude oder andere Hindernisse</c:v>
                </c:pt>
                <c:pt idx="3">
                  <c:v>Tageszeit</c:v>
                </c:pt>
                <c:pt idx="4">
                  <c:v>Farbe des Daches</c:v>
                </c:pt>
              </c:strCache>
            </c:strRef>
          </c:cat>
          <c:val>
            <c:numRef>
              <c:f>'Raw-Data'!DP44:DP48</c:f>
              <c:numCache>
                <c:formatCode>General</c:formatCode>
                <c:ptCount val="5"/>
                <c:pt idx="0">
                  <c:v>7</c:v>
                </c:pt>
                <c:pt idx="1">
                  <c:v>10</c:v>
                </c:pt>
                <c:pt idx="2">
                  <c:v>9</c:v>
                </c:pt>
                <c:pt idx="3">
                  <c:v>10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FD-4F60-9CDD-47C150DBD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7233776"/>
        <c:axId val="577229184"/>
      </c:barChart>
      <c:catAx>
        <c:axId val="577233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229184"/>
        <c:crosses val="autoZero"/>
        <c:auto val="1"/>
        <c:lblAlgn val="ctr"/>
        <c:lblOffset val="100"/>
        <c:noMultiLvlLbl val="0"/>
      </c:catAx>
      <c:valAx>
        <c:axId val="57722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in"/>
        <c:minorTickMark val="in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23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Altersverteilung der Stichprobe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Altersverteilung der Stichprobe</a:t>
          </a:r>
        </a:p>
      </cx:txPr>
    </cx:title>
    <cx:plotArea>
      <cx:plotAreaRegion>
        <cx:series layoutId="clusteredColumn" uniqueId="{00000000-CD52-49B4-AB92-07509483C3AC}">
          <cx:spPr>
            <a:solidFill>
              <a:srgbClr val="ED7D31"/>
            </a:solidFill>
            <a:ln w="9525">
              <a:solidFill>
                <a:srgbClr val="000000"/>
              </a:solidFill>
              <a:prstDash val="solid"/>
            </a:ln>
          </cx:spPr>
          <cx:dataId val="0"/>
          <cx:layoutPr>
            <cx:binning intervalClosed="r">
              <cx:binSize val="4"/>
            </cx:binning>
          </cx:layoutPr>
        </cx:series>
      </cx:plotAreaRegion>
      <cx:axis id="0">
        <cx:catScaling gapWidth="0"/>
        <cx:title>
          <cx:tx>
            <cx:txData>
              <cx:v>Altersgruppen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Altersgruppen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Teilnehmende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Teilnehmende</a:t>
              </a:r>
            </a:p>
          </cx:txPr>
        </cx:title>
        <cx:majorGridlines/>
        <cx:majorTickMarks type="out"/>
        <cx:minorTickMarks type="out"/>
        <cx:tickLabels/>
        <cx:spPr>
          <a:ln w="12700">
            <a:solidFill>
              <a:srgbClr val="000000"/>
            </a:solidFill>
            <a:prstDash val="solid"/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Altersverteilung der Stichprobe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Altersverteilung der Stichprobe</a:t>
          </a:r>
        </a:p>
      </cx:txPr>
    </cx:title>
    <cx:plotArea>
      <cx:plotAreaRegion>
        <cx:series layoutId="boxWhisker" uniqueId="{00000012-DD21-41D3-A616-523A49746F43}">
          <cx:spPr>
            <a:solidFill>
              <a:srgbClr val="ED7D31"/>
            </a:solidFill>
            <a:ln w="12700">
              <a:solidFill>
                <a:srgbClr val="000000"/>
              </a:solidFill>
              <a:prstDash val="solid"/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Stichprobe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Stichprobe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 max="60" min="20"/>
        <cx:title>
          <cx:tx>
            <cx:txData>
              <cx:v>Alter [Jahre]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Alter [Jahre]</a:t>
              </a:r>
            </a:p>
          </cx:txPr>
        </cx:title>
        <cx:majorGridlines/>
        <cx:majorTickMarks type="in"/>
        <cx:minorTickMarks type="in"/>
        <cx:tickLabels/>
        <cx:spPr>
          <a:ln w="12700">
            <a:solidFill>
              <a:srgbClr val="000000"/>
            </a:solidFill>
            <a:prstDash val="solid"/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_xlchart.v1.3</cx:f>
      </cx:numDim>
    </cx:data>
  </cx:chartData>
  <cx:chart>
    <cx:plotArea>
      <cx:plotAreaRegion>
        <cx:series layoutId="boxWhisker" uniqueId="{00000000-3344-4085-B313-A576BCAB164A}">
          <cx:tx>
            <cx:txData>
              <cx:f/>
              <cx:v>RTLX-Score-TUI-D</cx:v>
            </cx:txData>
          </cx:tx>
          <cx:spPr>
            <a:solidFill>
              <a:srgbClr val="92D050"/>
            </a:solidFill>
            <a:ln w="12700">
              <a:solidFill>
                <a:srgbClr val="000000"/>
              </a:solidFill>
              <a:prstDash val="solid"/>
            </a:ln>
          </cx:spPr>
          <cx:dataId val="0"/>
          <cx:layoutPr>
            <cx:visibility meanLine="1" meanMarker="1" nonoutliers="0" outliers="1"/>
            <cx:statistics quartileMethod="inclusive"/>
          </cx:layoutPr>
        </cx:series>
        <cx:series layoutId="boxWhisker" uniqueId="{00000001-3344-4085-B313-A576BCAB164A}">
          <cx:tx>
            <cx:txData>
              <cx:f/>
              <cx:v>RTLX-Score-TUI-KD</cx:v>
            </cx:txData>
          </cx:tx>
          <cx:spPr>
            <a:solidFill>
              <a:srgbClr val="FFC000"/>
            </a:solidFill>
            <a:ln w="12700">
              <a:solidFill>
                <a:srgbClr val="000000"/>
              </a:solidFill>
              <a:prstDash val="solid"/>
            </a:ln>
          </cx:spPr>
          <cx:dataId val="1"/>
          <cx:layoutPr>
            <cx:visibility meanLine="1" meanMarker="1" nonoutliers="0" outliers="1"/>
            <cx:statistics quartileMethod="inclusive"/>
          </cx:layoutPr>
        </cx:series>
      </cx:plotAreaRegion>
      <cx:axis id="0" hidden="1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RAW-TLX-Gesamtpunktzahl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RAW-TLX-Gesamtpunktzahl</a:t>
              </a:r>
            </a:p>
          </cx:txPr>
        </cx:title>
        <cx:majorGridlines/>
        <cx:majorTickMarks type="in"/>
        <cx:minorTickMarks type="in"/>
        <cx:tickLabels/>
        <cx:spPr>
          <a:ln w="12700">
            <a:solidFill>
              <a:srgbClr val="000000"/>
            </a:solidFill>
            <a:prstDash val="solid"/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b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  <cx:data id="1">
      <cx:numDim type="val">
        <cx:f>_xlchart.v1.5</cx:f>
      </cx:numDim>
    </cx:data>
  </cx:chartData>
  <cx:chart>
    <cx:plotArea>
      <cx:plotAreaRegion>
        <cx:series layoutId="boxWhisker" uniqueId="{00000001-CEBB-46ED-A9AF-EFFAC46F58F6}">
          <cx:tx>
            <cx:txData>
              <cx:f/>
              <cx:v>Geistige Anforderung TUI-D</cx:v>
            </cx:txData>
          </cx:tx>
          <cx:spPr>
            <a:solidFill>
              <a:srgbClr val="70AD47"/>
            </a:solidFill>
            <a:ln w="12700">
              <a:solidFill>
                <a:srgbClr val="000000"/>
              </a:solidFill>
              <a:prstDash val="solid"/>
            </a:ln>
          </cx:spPr>
          <cx:dataId val="0"/>
          <cx:layoutPr>
            <cx:visibility meanLine="1" nonoutliers="0"/>
            <cx:statistics quartileMethod="inclusive"/>
          </cx:layoutPr>
        </cx:series>
        <cx:series layoutId="boxWhisker" uniqueId="{00000002-CEBB-46ED-A9AF-EFFAC46F58F6}">
          <cx:tx>
            <cx:txData>
              <cx:f/>
              <cx:v>Geistige Anforderung TUI-KD</cx:v>
            </cx:txData>
          </cx:tx>
          <cx:spPr>
            <a:solidFill>
              <a:srgbClr val="FFC000"/>
            </a:solidFill>
            <a:ln w="12700">
              <a:solidFill>
                <a:srgbClr val="000000"/>
              </a:solidFill>
              <a:prstDash val="solid"/>
            </a:ln>
          </cx:spPr>
          <cx:dataId val="1"/>
          <cx:layoutPr>
            <cx:visibility meanLine="1" meanMarker="1" nonoutliers="0"/>
            <cx:statistics quartileMethod="inclusive"/>
          </cx:layoutPr>
        </cx:series>
      </cx:plotAreaRegion>
      <cx:axis id="0" hidden="1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Geistige Anforderung (Punktzahl)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Geistige Anforderung (Punktzahl)</a:t>
              </a:r>
            </a:p>
          </cx:txPr>
        </cx:title>
        <cx:majorGridlines/>
        <cx:majorTickMarks type="in"/>
        <cx:minorTickMarks type="in"/>
        <cx:tickLabels/>
        <cx:spPr>
          <a:ln w="12700">
            <a:solidFill>
              <a:srgbClr val="000000"/>
            </a:solidFill>
            <a:prstDash val="solid"/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b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_xlchart.v1.9</cx:f>
      </cx:numDim>
    </cx:data>
  </cx:chartData>
  <cx:chart>
    <cx:plotArea>
      <cx:plotAreaRegion>
        <cx:series layoutId="boxWhisker" uniqueId="{00000002-DD32-41B8-A613-E2FA515B9482}">
          <cx:tx>
            <cx:txData>
              <cx:f>_xlchart.v1.6</cx:f>
              <cx:v>TUI-D</cx:v>
            </cx:txData>
          </cx:tx>
          <cx:spPr>
            <a:solidFill>
              <a:srgbClr val="92D050"/>
            </a:solidFill>
            <a:ln w="12700">
              <a:solidFill>
                <a:srgbClr val="000000"/>
              </a:solidFill>
              <a:prstDash val="solid"/>
            </a:ln>
          </cx:spPr>
          <cx:dataId val="0"/>
          <cx:layoutPr>
            <cx:visibility meanLine="1" nonoutliers="0"/>
            <cx:statistics quartileMethod="inclusive"/>
          </cx:layoutPr>
        </cx:series>
        <cx:series layoutId="boxWhisker" uniqueId="{00000003-DD32-41B8-A613-E2FA515B9482}">
          <cx:tx>
            <cx:txData>
              <cx:f>_xlchart.v1.8</cx:f>
              <cx:v>TUI-KD</cx:v>
            </cx:txData>
          </cx:tx>
          <cx:spPr>
            <a:solidFill>
              <a:srgbClr val="FFC000"/>
            </a:solidFill>
            <a:ln w="12700">
              <a:solidFill>
                <a:srgbClr val="000000"/>
              </a:solidFill>
              <a:prstDash val="solid"/>
            </a:ln>
          </cx:spPr>
          <cx:dataId val="1"/>
          <cx:layoutPr>
            <cx:visibility meanLine="1" nonoutliers="0"/>
            <cx:statistics quartileMethod="inclusive"/>
          </cx:layoutPr>
        </cx:series>
      </cx:plotAreaRegion>
      <cx:axis id="0" hidden="1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Anzahl der Interaktionen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Anzahl der Interaktionen</a:t>
              </a:r>
            </a:p>
          </cx:txPr>
        </cx:title>
        <cx:majorGridlines/>
        <cx:majorTickMarks type="out"/>
        <cx:minorTickMarks type="out"/>
        <cx:tickLabels/>
        <cx:spPr>
          <a:ln w="12700">
            <a:solidFill>
              <a:srgbClr val="000000"/>
            </a:solidFill>
            <a:prstDash val="solid"/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b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  <cx:data id="1">
      <cx:numDim type="val">
        <cx:f>_xlchart.v1.13</cx:f>
      </cx:numDim>
    </cx:data>
    <cx:data id="2">
      <cx:numDim type="val">
        <cx:f>_xlchart.v1.15</cx:f>
      </cx:numDim>
    </cx:data>
    <cx:data id="3">
      <cx:numDim type="val">
        <cx:f>_xlchart.v1.17</cx:f>
      </cx:numDim>
    </cx:data>
    <cx:data id="4">
      <cx:numDim type="val">
        <cx:f>_xlchart.v1.19</cx:f>
      </cx:numDim>
    </cx:data>
  </cx:chartData>
  <cx:chart>
    <cx:plotArea>
      <cx:plotAreaRegion>
        <cx:series layoutId="boxWhisker" uniqueId="{00000006-C043-4B7D-B6F0-B7B1AA14627D}">
          <cx:tx>
            <cx:txData>
              <cx:f>_xlchart.v1.10</cx:f>
              <cx:v>„Wie gut konnten Sie nachvollziehen, warum eine bestimmte Position oder Neigung des Panels eine höhere Energieproduktion liefert?“</cx:v>
            </cx:txData>
          </cx:tx>
          <cx:spPr>
            <a:ln w="12700">
              <a:solidFill>
                <a:srgbClr val="000000"/>
              </a:solidFill>
              <a:prstDash val="solid"/>
            </a:ln>
          </cx:spPr>
          <cx:dataId val="0"/>
          <cx:layoutPr>
            <cx:visibility nonoutliers="0"/>
            <cx:statistics quartileMethod="inclusive"/>
          </cx:layoutPr>
        </cx:series>
        <cx:series layoutId="boxWhisker" uniqueId="{00000007-C043-4B7D-B6F0-B7B1AA14627D}">
          <cx:tx>
            <cx:txData>
              <cx:f>_xlchart.v1.12</cx:f>
              <cx:v>„Wie motiviert waren Sie während der Interaktion mit dem System?“  </cx:v>
            </cx:txData>
          </cx:tx>
          <cx:spPr>
            <a:ln w="12700">
              <a:solidFill>
                <a:srgbClr val="000000"/>
              </a:solidFill>
              <a:prstDash val="solid"/>
            </a:ln>
          </cx:spPr>
          <cx:dataId val="1"/>
          <cx:layoutPr>
            <cx:visibility nonoutliers="0"/>
            <cx:statistics quartileMethod="inclusive"/>
          </cx:layoutPr>
        </cx:series>
        <cx:series layoutId="boxWhisker" uniqueId="{00000008-C043-4B7D-B6F0-B7B1AA14627D}">
          <cx:tx>
            <cx:txData>
              <cx:f>_xlchart.v1.14</cx:f>
              <cx:v>„Wie leicht fiel es Ihnen, die räumliche Orientierung am Modell zu erfassen?“</cx:v>
            </cx:txData>
          </cx:tx>
          <cx:spPr>
            <a:ln w="12700">
              <a:solidFill>
                <a:srgbClr val="000000"/>
              </a:solidFill>
              <a:prstDash val="solid"/>
            </a:ln>
          </cx:spPr>
          <cx:dataId val="2"/>
          <cx:layoutPr>
            <cx:visibility nonoutliers="0"/>
            <cx:statistics quartileMethod="inclusive"/>
          </cx:layoutPr>
        </cx:series>
        <cx:series layoutId="boxWhisker" uniqueId="{00000009-C043-4B7D-B6F0-B7B1AA14627D}">
          <cx:tx>
            <cx:txData>
              <cx:f>_xlchart.v1.16</cx:f>
              <cx:v>„Wie leicht fiel es Ihnen, die Solardaten / Energie-Heatmap zu interpretieren?“</cx:v>
            </cx:txData>
          </cx:tx>
          <cx:spPr>
            <a:ln w="12700">
              <a:solidFill>
                <a:srgbClr val="000000"/>
              </a:solidFill>
              <a:prstDash val="solid"/>
            </a:ln>
          </cx:spPr>
          <cx:dataId val="3"/>
          <cx:layoutPr>
            <cx:visibility nonoutliers="0"/>
            <cx:statistics quartileMethod="inclusive"/>
          </cx:layoutPr>
        </cx:series>
        <cx:series layoutId="boxWhisker" uniqueId="{0000000A-C043-4B7D-B6F0-B7B1AA14627D}">
          <cx:tx>
            <cx:txData>
              <cx:f>_xlchart.v1.18</cx:f>
              <cx:v>„Wie leicht fiel es Ihnen, die optimale Neigung des Solarpanels zu bestimmen?“</cx:v>
            </cx:txData>
          </cx:tx>
          <cx:spPr>
            <a:ln w="12700">
              <a:solidFill>
                <a:srgbClr val="000000"/>
              </a:solidFill>
              <a:prstDash val="solid"/>
            </a:ln>
          </cx:spPr>
          <cx:dataId val="4"/>
          <cx:layoutPr>
            <cx:visibility nonoutliers="0"/>
            <cx:statistics quartileMethod="inclusive"/>
          </cx:layoutPr>
        </cx:series>
      </cx:plotAreaRegion>
      <cx:axis id="0" hidden="1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Einschätzung (1–7)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Einschätzung (1–7)</a:t>
              </a:r>
            </a:p>
          </cx:txPr>
        </cx:title>
        <cx:majorGridlines/>
        <cx:majorTickMarks type="out"/>
        <cx:minorTickMarks type="out"/>
        <cx:tickLabels/>
        <cx:spPr>
          <a:ln w="12700">
            <a:solidFill>
              <a:srgbClr val="000000"/>
            </a:solidFill>
            <a:prstDash val="solid"/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b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  <cx:data id="1">
      <cx:numDim type="val">
        <cx:f>_xlchart.v1.23</cx:f>
      </cx:numDim>
    </cx:data>
    <cx:data id="2">
      <cx:numDim type="val">
        <cx:f>_xlchart.v1.25</cx:f>
      </cx:numDim>
    </cx:data>
    <cx:data id="3">
      <cx:numDim type="val">
        <cx:f>_xlchart.v1.27</cx:f>
      </cx:numDim>
    </cx:data>
    <cx:data id="4">
      <cx:numDim type="val">
        <cx:f>_xlchart.v1.29</cx:f>
      </cx:numDim>
    </cx:data>
  </cx:chartData>
  <cx:chart>
    <cx:plotArea>
      <cx:plotAreaRegion>
        <cx:series layoutId="boxWhisker" uniqueId="{00000001-C043-4B7D-B6F0-B7B1AA14627D}">
          <cx:tx>
            <cx:txData>
              <cx:f>_xlchart.v1.20</cx:f>
              <cx:v>„Wie gut konnten Sie nachvollziehen, warum eine bestimmte Position oder Neigung des Panels eine höhere Energieproduktion liefert?“</cx:v>
            </cx:txData>
          </cx:tx>
          <cx:spPr>
            <a:ln w="12700">
              <a:solidFill>
                <a:srgbClr val="000000"/>
              </a:solidFill>
              <a:prstDash val="solid"/>
            </a:ln>
          </cx:spPr>
          <cx:dataId val="0"/>
          <cx:layoutPr>
            <cx:visibility nonoutliers="0"/>
            <cx:statistics quartileMethod="inclusive"/>
          </cx:layoutPr>
        </cx:series>
        <cx:series layoutId="boxWhisker" uniqueId="{00000002-C043-4B7D-B6F0-B7B1AA14627D}">
          <cx:tx>
            <cx:txData>
              <cx:f>_xlchart.v1.22</cx:f>
              <cx:v>„Wie motiviert waren Sie während der Interaktion mit dem System?“  </cx:v>
            </cx:txData>
          </cx:tx>
          <cx:spPr>
            <a:ln w="12700">
              <a:solidFill>
                <a:srgbClr val="000000"/>
              </a:solidFill>
              <a:prstDash val="solid"/>
            </a:ln>
          </cx:spPr>
          <cx:dataId val="1"/>
          <cx:layoutPr>
            <cx:visibility nonoutliers="0"/>
            <cx:statistics quartileMethod="inclusive"/>
          </cx:layoutPr>
        </cx:series>
        <cx:series layoutId="boxWhisker" uniqueId="{00000003-C043-4B7D-B6F0-B7B1AA14627D}">
          <cx:tx>
            <cx:txData>
              <cx:f>_xlchart.v1.24</cx:f>
              <cx:v>„Wie leicht fiel es Ihnen, die räumliche Orientierung am Modell zu erfassen?“</cx:v>
            </cx:txData>
          </cx:tx>
          <cx:spPr>
            <a:ln w="12700">
              <a:solidFill>
                <a:srgbClr val="000000"/>
              </a:solidFill>
              <a:prstDash val="solid"/>
            </a:ln>
          </cx:spPr>
          <cx:dataId val="2"/>
          <cx:layoutPr>
            <cx:visibility nonoutliers="0"/>
            <cx:statistics quartileMethod="inclusive"/>
          </cx:layoutPr>
        </cx:series>
        <cx:series layoutId="boxWhisker" uniqueId="{00000004-C043-4B7D-B6F0-B7B1AA14627D}">
          <cx:tx>
            <cx:txData>
              <cx:f>_xlchart.v1.26</cx:f>
              <cx:v>„Wie leicht fiel es Ihnen, die Solardaten / Energie-Heatmap zu interpretieren?“</cx:v>
            </cx:txData>
          </cx:tx>
          <cx:spPr>
            <a:ln w="12700">
              <a:solidFill>
                <a:srgbClr val="000000"/>
              </a:solidFill>
              <a:prstDash val="solid"/>
            </a:ln>
          </cx:spPr>
          <cx:dataId val="3"/>
          <cx:layoutPr>
            <cx:visibility nonoutliers="0"/>
            <cx:statistics quartileMethod="inclusive"/>
          </cx:layoutPr>
        </cx:series>
        <cx:series layoutId="boxWhisker" uniqueId="{00000005-C043-4B7D-B6F0-B7B1AA14627D}">
          <cx:tx>
            <cx:txData>
              <cx:f>_xlchart.v1.28</cx:f>
              <cx:v>„Wie leicht fiel es Ihnen, die optimale Neigung des Solarpanels zu bestimmen?“</cx:v>
            </cx:txData>
          </cx:tx>
          <cx:spPr>
            <a:ln w="12700">
              <a:solidFill>
                <a:srgbClr val="000000"/>
              </a:solidFill>
              <a:prstDash val="solid"/>
            </a:ln>
          </cx:spPr>
          <cx:dataId val="4"/>
          <cx:layoutPr>
            <cx:visibility nonoutliers="0"/>
            <cx:statistics quartileMethod="inclusive"/>
          </cx:layoutPr>
        </cx:series>
      </cx:plotAreaRegion>
      <cx:axis id="0" hidden="1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Einschätzung (1–7)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Einschätzung (1–7)</a:t>
              </a:r>
            </a:p>
          </cx:txPr>
        </cx:title>
        <cx:majorGridlines/>
        <cx:majorTickMarks type="out"/>
        <cx:minorTickMarks type="out"/>
        <cx:tickLabels/>
        <cx:spPr>
          <a:ln w="12700">
            <a:solidFill>
              <a:srgbClr val="000000"/>
            </a:solidFill>
            <a:prstDash val="solid"/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b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_xlchart.v1.30</cx:f>
      </cx:numDim>
    </cx:data>
    <cx:data id="1">
      <cx:numDim type="val">
        <cx:f>_xlchart.v1.31</cx:f>
      </cx:numDim>
    </cx:data>
  </cx:chartData>
  <cx:chart>
    <cx:plotArea>
      <cx:plotAreaRegion>
        <cx:series layoutId="boxWhisker" uniqueId="{00000000-38F9-4955-B201-F5308A5E82C6}">
          <cx:tx>
            <cx:txData>
              <cx:f/>
              <cx:v>Bearbeitungszeit-TUI-D</cx:v>
            </cx:txData>
          </cx:tx>
          <cx:spPr>
            <a:solidFill>
              <a:srgbClr val="92D050"/>
            </a:solidFill>
            <a:ln w="12700">
              <a:solidFill>
                <a:srgbClr val="000000"/>
              </a:solidFill>
              <a:prstDash val="solid"/>
            </a:ln>
          </cx:spPr>
          <cx:dataId val="0"/>
          <cx:layoutPr>
            <cx:visibility meanLine="1" meanMarker="1" nonoutliers="0" outliers="1"/>
            <cx:statistics quartileMethod="inclusive"/>
          </cx:layoutPr>
        </cx:series>
        <cx:series layoutId="boxWhisker" uniqueId="{00000001-38F9-4955-B201-F5308A5E82C6}">
          <cx:tx>
            <cx:txData>
              <cx:f/>
              <cx:v>Bearbeitungszeit-TUI-KD</cx:v>
            </cx:txData>
          </cx:tx>
          <cx:spPr>
            <a:solidFill>
              <a:srgbClr val="FFC000"/>
            </a:solidFill>
            <a:ln w="12700">
              <a:solidFill>
                <a:srgbClr val="000000"/>
              </a:solidFill>
              <a:prstDash val="solid"/>
            </a:ln>
          </cx:spPr>
          <cx:dataId val="1"/>
          <cx:layoutPr>
            <cx:visibility meanLine="1" meanMarker="1" nonoutliers="0" outliers="1"/>
            <cx:statistics quartileMethod="inclusive"/>
          </cx:layoutPr>
        </cx:series>
      </cx:plotAreaRegion>
      <cx:axis id="0" hidden="1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Bearbeitungszeit in Sekunden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Bearbeitungszeit in Sekunden</a:t>
              </a:r>
            </a:p>
          </cx:txPr>
        </cx:title>
        <cx:majorGridlines/>
        <cx:majorTickMarks type="out"/>
        <cx:minorTickMarks type="out"/>
        <cx:tickLabels/>
        <cx:spPr>
          <a:ln w="12700">
            <a:solidFill>
              <a:srgbClr val="000000"/>
            </a:solidFill>
            <a:prstDash val="solid"/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b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_xlchart.v1.32</cx:f>
      </cx:numDim>
    </cx:data>
    <cx:data id="1">
      <cx:numDim type="val">
        <cx:f>_xlchart.v1.33</cx:f>
      </cx:numDim>
    </cx:data>
  </cx:chartData>
  <cx:chart>
    <cx:plotArea>
      <cx:plotAreaRegion>
        <cx:series layoutId="boxWhisker" uniqueId="{00000002-AD87-4733-B4D1-DED6526E551C}">
          <cx:tx>
            <cx:txData>
              <cx:f/>
              <cx:v>Zielerreichungsgrad-TUI-D</cx:v>
            </cx:txData>
          </cx:tx>
          <cx:spPr>
            <a:solidFill>
              <a:srgbClr val="92D050"/>
            </a:solidFill>
            <a:ln w="12700">
              <a:solidFill>
                <a:srgbClr val="000000"/>
              </a:solidFill>
              <a:prstDash val="solid"/>
            </a:ln>
          </cx:spPr>
          <cx:dataId val="0"/>
          <cx:layoutPr>
            <cx:visibility nonoutliers="0"/>
            <cx:statistics quartileMethod="inclusive"/>
          </cx:layoutPr>
        </cx:series>
        <cx:series layoutId="boxWhisker" uniqueId="{00000003-AD87-4733-B4D1-DED6526E551C}">
          <cx:tx>
            <cx:txData>
              <cx:f/>
              <cx:v>Zielerreichungsgrad-TUI-KD</cx:v>
            </cx:txData>
          </cx:tx>
          <cx:spPr>
            <a:solidFill>
              <a:srgbClr val="FFC000"/>
            </a:solidFill>
            <a:ln w="12700">
              <a:solidFill>
                <a:srgbClr val="000000"/>
              </a:solidFill>
              <a:prstDash val="solid"/>
            </a:ln>
          </cx:spPr>
          <cx:dataId val="1"/>
          <cx:layoutPr>
            <cx:visibility nonoutliers="0"/>
            <cx:statistics quartileMethod="inclusive"/>
          </cx:layoutPr>
        </cx:series>
      </cx:plotAreaRegion>
      <cx:axis id="0" hidden="1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Zielerreichungsgrad in Prozent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Zielerreichungsgrad in Prozent</a:t>
              </a:r>
            </a:p>
          </cx:txPr>
        </cx:title>
        <cx:majorGridlines/>
        <cx:majorTickMarks type="out"/>
        <cx:minorTickMarks type="out"/>
        <cx:tickLabels/>
        <cx:spPr>
          <a:ln w="12700">
            <a:solidFill>
              <a:srgbClr val="000000"/>
            </a:solidFill>
            <a:prstDash val="solid"/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b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4.xml"/><Relationship Id="rId1" Type="http://schemas.microsoft.com/office/2014/relationships/chartEx" Target="../charts/chartEx3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14/relationships/chartEx" Target="../charts/chartEx7.xml"/><Relationship Id="rId1" Type="http://schemas.microsoft.com/office/2014/relationships/chartEx" Target="../charts/chartEx6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8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22</xdr:row>
      <xdr:rowOff>152400</xdr:rowOff>
    </xdr:from>
    <xdr:to>
      <xdr:col>16</xdr:col>
      <xdr:colOff>314325</xdr:colOff>
      <xdr:row>39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Diagramm 3">
              <a:extLst>
                <a:ext uri="{FF2B5EF4-FFF2-40B4-BE49-F238E27FC236}">
                  <a16:creationId xmlns:a16="http://schemas.microsoft.com/office/drawing/2014/main" id="{030AFC68-AF46-1AF1-7A73-902AE445CA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Dieses Diagramm ist in Ihrer Version von Excel nicht verfügbar.
Wenn Sie diese Form bearbeiten oder diese Arbeitsmappe in einem anderen Dateiformat speichern, wird das Diagramm endgültig beschädigt.</a:t>
              </a:r>
            </a:p>
          </xdr:txBody>
        </xdr:sp>
      </mc:Fallback>
    </mc:AlternateContent>
    <xdr:clientData/>
  </xdr:twoCellAnchor>
  <xdr:twoCellAnchor>
    <xdr:from>
      <xdr:col>18</xdr:col>
      <xdr:colOff>600075</xdr:colOff>
      <xdr:row>23</xdr:row>
      <xdr:rowOff>38100</xdr:rowOff>
    </xdr:from>
    <xdr:to>
      <xdr:col>26</xdr:col>
      <xdr:colOff>561975</xdr:colOff>
      <xdr:row>39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Diagramm 4">
              <a:extLst>
                <a:ext uri="{FF2B5EF4-FFF2-40B4-BE49-F238E27FC236}">
                  <a16:creationId xmlns:a16="http://schemas.microsoft.com/office/drawing/2014/main" id="{ABA21232-6E36-FEA2-7712-CC4FF167A3AD}"/>
                </a:ext>
                <a:ext uri="{147F2762-F138-4A5C-976F-8EAC2B608ADB}">
                  <a16:predDERef xmlns:a16="http://schemas.microsoft.com/office/drawing/2014/main" pred="{030AFC68-AF46-1AF1-7A73-902AE445CA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Dieses Diagramm ist in Ihrer Version von Excel nicht verfügbar.
Wenn Sie diese Form bearbeiten oder diese Arbeitsmappe in einem anderen Dateiformat speichern, wird das Diagramm endgültig beschädigt.</a:t>
              </a:r>
            </a:p>
          </xdr:txBody>
        </xdr:sp>
      </mc:Fallback>
    </mc:AlternateContent>
    <xdr:clientData/>
  </xdr:twoCellAnchor>
  <xdr:twoCellAnchor>
    <xdr:from>
      <xdr:col>87</xdr:col>
      <xdr:colOff>238125</xdr:colOff>
      <xdr:row>57</xdr:row>
      <xdr:rowOff>114300</xdr:rowOff>
    </xdr:from>
    <xdr:to>
      <xdr:col>100</xdr:col>
      <xdr:colOff>43815</xdr:colOff>
      <xdr:row>95</xdr:row>
      <xdr:rowOff>11430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C215D4B2-F2BF-44A9-A3B0-B4E55B2F76E3}"/>
            </a:ext>
            <a:ext uri="{147F2762-F138-4A5C-976F-8EAC2B608ADB}">
              <a16:predDERef xmlns:a16="http://schemas.microsoft.com/office/drawing/2014/main" pred="{ABA21232-6E36-FEA2-7712-CC4FF167A3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106</xdr:col>
      <xdr:colOff>9525</xdr:colOff>
      <xdr:row>57</xdr:row>
      <xdr:rowOff>114300</xdr:rowOff>
    </xdr:from>
    <xdr:to>
      <xdr:col>120</xdr:col>
      <xdr:colOff>72390</xdr:colOff>
      <xdr:row>95</xdr:row>
      <xdr:rowOff>11430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548C7905-6A8C-4D85-A266-DB5C9FB23754}"/>
            </a:ext>
            <a:ext uri="{147F2762-F138-4A5C-976F-8EAC2B608ADB}">
              <a16:predDERef xmlns:a16="http://schemas.microsoft.com/office/drawing/2014/main" pred="{C215D4B2-F2BF-44A9-A3B0-B4E55B2F76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400050</xdr:colOff>
      <xdr:row>64</xdr:row>
      <xdr:rowOff>114300</xdr:rowOff>
    </xdr:from>
    <xdr:to>
      <xdr:col>28</xdr:col>
      <xdr:colOff>19050</xdr:colOff>
      <xdr:row>86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m 1">
              <a:extLst>
                <a:ext uri="{FF2B5EF4-FFF2-40B4-BE49-F238E27FC236}">
                  <a16:creationId xmlns:a16="http://schemas.microsoft.com/office/drawing/2014/main" id="{CA7960D1-1CCE-D2C2-ACE2-18F831F337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Dieses Diagramm ist in Ihrer Version von Excel nicht verfügbar.
Wenn Sie diese Form bearbeiten oder diese Arbeitsmappe in einem anderen Dateiformat speichern, wird das Diagramm endgültig beschädigt.</a:t>
              </a:r>
            </a:p>
          </xdr:txBody>
        </xdr:sp>
      </mc:Fallback>
    </mc:AlternateContent>
    <xdr:clientData/>
  </xdr:twoCellAnchor>
  <xdr:twoCellAnchor>
    <xdr:from>
      <xdr:col>28</xdr:col>
      <xdr:colOff>228600</xdr:colOff>
      <xdr:row>63</xdr:row>
      <xdr:rowOff>57150</xdr:rowOff>
    </xdr:from>
    <xdr:to>
      <xdr:col>37</xdr:col>
      <xdr:colOff>457200</xdr:colOff>
      <xdr:row>84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Diagramm 2">
              <a:extLst>
                <a:ext uri="{FF2B5EF4-FFF2-40B4-BE49-F238E27FC236}">
                  <a16:creationId xmlns:a16="http://schemas.microsoft.com/office/drawing/2014/main" id="{D37BD7E1-487A-4D1A-BB3B-62808D554E1D}"/>
                </a:ext>
                <a:ext uri="{147F2762-F138-4A5C-976F-8EAC2B608ADB}">
                  <a16:predDERef xmlns:a16="http://schemas.microsoft.com/office/drawing/2014/main" pred="{CA7960D1-1CCE-D2C2-ACE2-18F831F337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Dieses Diagramm ist in Ihrer Version von Excel nicht verfügbar.
Wenn Sie diese Form bearbeiten oder diese Arbeitsmappe in einem anderen Dateiformat speichern, wird das Diagramm endgültig beschädigt.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485775</xdr:colOff>
      <xdr:row>20</xdr:row>
      <xdr:rowOff>114300</xdr:rowOff>
    </xdr:from>
    <xdr:to>
      <xdr:col>25</xdr:col>
      <xdr:colOff>419100</xdr:colOff>
      <xdr:row>47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m 1">
              <a:extLst>
                <a:ext uri="{FF2B5EF4-FFF2-40B4-BE49-F238E27FC236}">
                  <a16:creationId xmlns:a16="http://schemas.microsoft.com/office/drawing/2014/main" id="{769C9E3E-BC50-45C9-B8C5-942B034C18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Dieses Diagramm ist in Ihrer Version von Excel nicht verfügbar.
Wenn Sie diese Form bearbeiten oder diese Arbeitsmappe in einem anderen Dateiformat speichern, wird das Diagramm endgültig beschädigt.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447675</xdr:colOff>
      <xdr:row>39</xdr:row>
      <xdr:rowOff>152400</xdr:rowOff>
    </xdr:from>
    <xdr:to>
      <xdr:col>17</xdr:col>
      <xdr:colOff>2209800</xdr:colOff>
      <xdr:row>66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Diagramm 1">
              <a:extLst>
                <a:ext uri="{FF2B5EF4-FFF2-40B4-BE49-F238E27FC236}">
                  <a16:creationId xmlns:a16="http://schemas.microsoft.com/office/drawing/2014/main" id="{DCAE752F-CB92-48AF-A970-719AA9AFA9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Dieses Diagramm ist in Ihrer Version von Excel nicht verfügbar.
Wenn Sie diese Form bearbeiten oder diese Arbeitsmappe in einem anderen Dateiformat speichern, wird das Diagramm endgültig beschädigt.</a:t>
              </a:r>
            </a:p>
          </xdr:txBody>
        </xdr:sp>
      </mc:Fallback>
    </mc:AlternateContent>
    <xdr:clientData/>
  </xdr:twoCellAnchor>
  <xdr:twoCellAnchor>
    <xdr:from>
      <xdr:col>0</xdr:col>
      <xdr:colOff>7362825</xdr:colOff>
      <xdr:row>39</xdr:row>
      <xdr:rowOff>123825</xdr:rowOff>
    </xdr:from>
    <xdr:to>
      <xdr:col>8</xdr:col>
      <xdr:colOff>523875</xdr:colOff>
      <xdr:row>66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Diagramm 4">
              <a:extLst>
                <a:ext uri="{FF2B5EF4-FFF2-40B4-BE49-F238E27FC236}">
                  <a16:creationId xmlns:a16="http://schemas.microsoft.com/office/drawing/2014/main" id="{DD57544D-0FDC-45EC-B590-CE205FB122E0}"/>
                </a:ext>
                <a:ext uri="{147F2762-F138-4A5C-976F-8EAC2B608ADB}">
                  <a16:predDERef xmlns:a16="http://schemas.microsoft.com/office/drawing/2014/main" pred="{DCAE752F-CB92-48AF-A970-719AA9AFA9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Dieses Diagramm ist in Ihrer Version von Excel nicht verfügbar.
Wenn Sie diese Form bearbeiten oder diese Arbeitsmappe in einem anderen Dateiformat speichern, wird das Diagramm endgültig beschädigt.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</xdr:colOff>
      <xdr:row>5</xdr:row>
      <xdr:rowOff>142875</xdr:rowOff>
    </xdr:from>
    <xdr:to>
      <xdr:col>20</xdr:col>
      <xdr:colOff>581025</xdr:colOff>
      <xdr:row>32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m 1">
              <a:extLst>
                <a:ext uri="{FF2B5EF4-FFF2-40B4-BE49-F238E27FC236}">
                  <a16:creationId xmlns:a16="http://schemas.microsoft.com/office/drawing/2014/main" id="{BF62C195-A4E1-8BD7-AD4F-F70249D974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Dieses Diagramm ist in Ihrer Version von Excel nicht verfügbar.
Wenn Sie diese Form bearbeiten oder diese Arbeitsmappe in einem anderen Dateiformat speichern, wird das Diagramm endgültig beschädigt.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600075</xdr:colOff>
      <xdr:row>49</xdr:row>
      <xdr:rowOff>57150</xdr:rowOff>
    </xdr:from>
    <xdr:to>
      <xdr:col>23</xdr:col>
      <xdr:colOff>533400</xdr:colOff>
      <xdr:row>75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m 1">
              <a:extLst>
                <a:ext uri="{FF2B5EF4-FFF2-40B4-BE49-F238E27FC236}">
                  <a16:creationId xmlns:a16="http://schemas.microsoft.com/office/drawing/2014/main" id="{AC8624A7-3735-4F17-8799-BB16DCD3C2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Dieses Diagramm ist in Ihrer Version von Excel nicht verfügbar.
Wenn Sie diese Form bearbeiten oder diese Arbeitsmappe in einem anderen Dateiformat speichern, wird das Diagramm endgültig beschädigt.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1"/>
  <sheetViews>
    <sheetView tabSelected="1" zoomScaleNormal="100" workbookViewId="0">
      <pane ySplit="2" topLeftCell="A3" activePane="bottomLeft" state="frozen"/>
      <selection pane="bottomLeft" activeCell="F28" sqref="F28"/>
    </sheetView>
  </sheetViews>
  <sheetFormatPr defaultRowHeight="15"/>
  <cols>
    <col min="1" max="1" width="8" customWidth="1"/>
    <col min="2" max="4" width="20" customWidth="1"/>
    <col min="5" max="5" width="16" customWidth="1"/>
    <col min="6" max="6" width="20" customWidth="1"/>
    <col min="7" max="7" width="32" customWidth="1"/>
    <col min="8" max="9" width="8" customWidth="1"/>
    <col min="10" max="10" width="32" customWidth="1"/>
    <col min="11" max="98" width="8" customWidth="1"/>
    <col min="99" max="115" width="5" customWidth="1"/>
    <col min="116" max="117" width="20" customWidth="1"/>
    <col min="118" max="118" width="16" customWidth="1"/>
    <col min="119" max="125" width="8" customWidth="1"/>
    <col min="126" max="1024" width="11.42578125"/>
  </cols>
  <sheetData>
    <row r="1" spans="1:125" ht="12.2">
      <c r="A1" s="5"/>
      <c r="B1" s="5"/>
      <c r="C1" s="5"/>
      <c r="D1" s="5"/>
      <c r="E1" s="5"/>
      <c r="F1" s="5"/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5" t="s">
        <v>6</v>
      </c>
      <c r="N1" s="5" t="s">
        <v>7</v>
      </c>
      <c r="O1" s="5" t="s">
        <v>8</v>
      </c>
      <c r="P1" s="5" t="s">
        <v>9</v>
      </c>
      <c r="Q1" s="5" t="s">
        <v>10</v>
      </c>
      <c r="R1" s="5" t="s">
        <v>11</v>
      </c>
      <c r="S1" s="5" t="s">
        <v>12</v>
      </c>
      <c r="T1" s="5" t="s">
        <v>13</v>
      </c>
      <c r="U1" s="5" t="s">
        <v>14</v>
      </c>
      <c r="V1" s="5" t="s">
        <v>15</v>
      </c>
      <c r="W1" s="5" t="s">
        <v>16</v>
      </c>
      <c r="X1" s="5" t="s">
        <v>17</v>
      </c>
      <c r="Y1" s="5" t="s">
        <v>18</v>
      </c>
      <c r="Z1" s="5" t="s">
        <v>19</v>
      </c>
      <c r="AA1" s="5" t="s">
        <v>20</v>
      </c>
      <c r="AB1" s="5" t="s">
        <v>21</v>
      </c>
      <c r="AC1" s="5" t="s">
        <v>22</v>
      </c>
      <c r="AD1" s="5" t="s">
        <v>23</v>
      </c>
      <c r="AE1" s="5" t="s">
        <v>24</v>
      </c>
      <c r="AF1" s="5" t="s">
        <v>25</v>
      </c>
      <c r="AG1" s="5" t="s">
        <v>26</v>
      </c>
      <c r="AH1" s="5" t="s">
        <v>27</v>
      </c>
      <c r="AI1" s="5" t="s">
        <v>28</v>
      </c>
      <c r="AJ1" s="5" t="s">
        <v>29</v>
      </c>
      <c r="AK1" s="5" t="s">
        <v>30</v>
      </c>
      <c r="AL1" s="5" t="s">
        <v>31</v>
      </c>
      <c r="AM1" s="5" t="s">
        <v>32</v>
      </c>
      <c r="AN1" s="5" t="s">
        <v>33</v>
      </c>
      <c r="AO1" s="5" t="s">
        <v>34</v>
      </c>
      <c r="AP1" s="5" t="s">
        <v>35</v>
      </c>
      <c r="AQ1" s="5" t="s">
        <v>36</v>
      </c>
      <c r="AR1" s="5" t="s">
        <v>37</v>
      </c>
      <c r="AS1" s="5" t="s">
        <v>38</v>
      </c>
      <c r="AT1" s="5" t="s">
        <v>39</v>
      </c>
      <c r="AU1" s="5" t="s">
        <v>40</v>
      </c>
      <c r="AV1" s="5" t="s">
        <v>41</v>
      </c>
      <c r="AW1" s="5" t="s">
        <v>42</v>
      </c>
      <c r="AX1" s="5" t="s">
        <v>43</v>
      </c>
      <c r="AY1" s="5" t="s">
        <v>44</v>
      </c>
      <c r="AZ1" s="5" t="s">
        <v>45</v>
      </c>
      <c r="BA1" s="5" t="s">
        <v>46</v>
      </c>
      <c r="BB1" s="5" t="s">
        <v>47</v>
      </c>
      <c r="BC1" s="5" t="s">
        <v>48</v>
      </c>
      <c r="BD1" s="5" t="s">
        <v>49</v>
      </c>
      <c r="BE1" s="5" t="s">
        <v>50</v>
      </c>
      <c r="BF1" s="5" t="s">
        <v>51</v>
      </c>
      <c r="BG1" s="5" t="s">
        <v>52</v>
      </c>
      <c r="BH1" s="5" t="s">
        <v>53</v>
      </c>
      <c r="BI1" s="5" t="s">
        <v>54</v>
      </c>
      <c r="BJ1" s="5" t="s">
        <v>55</v>
      </c>
      <c r="BK1" s="5" t="s">
        <v>56</v>
      </c>
      <c r="BL1" s="5" t="s">
        <v>57</v>
      </c>
      <c r="BM1" s="5" t="s">
        <v>58</v>
      </c>
      <c r="BN1" s="5" t="s">
        <v>59</v>
      </c>
      <c r="BO1" s="5" t="s">
        <v>60</v>
      </c>
      <c r="BP1" s="5" t="s">
        <v>61</v>
      </c>
      <c r="BQ1" s="5" t="s">
        <v>62</v>
      </c>
      <c r="BR1" s="5" t="s">
        <v>63</v>
      </c>
      <c r="BS1" s="5" t="s">
        <v>64</v>
      </c>
      <c r="BT1" s="5" t="s">
        <v>65</v>
      </c>
      <c r="BU1" s="5" t="s">
        <v>66</v>
      </c>
      <c r="BV1" s="5" t="s">
        <v>67</v>
      </c>
      <c r="BW1" s="5" t="s">
        <v>68</v>
      </c>
      <c r="BX1" s="5" t="s">
        <v>69</v>
      </c>
      <c r="BY1" s="5" t="s">
        <v>70</v>
      </c>
      <c r="BZ1" s="5" t="s">
        <v>71</v>
      </c>
      <c r="CA1" s="5" t="s">
        <v>72</v>
      </c>
      <c r="CB1" s="5" t="s">
        <v>73</v>
      </c>
      <c r="CC1" s="5" t="s">
        <v>74</v>
      </c>
      <c r="CD1" s="5" t="s">
        <v>75</v>
      </c>
      <c r="CE1" s="5" t="s">
        <v>76</v>
      </c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</row>
    <row r="2" spans="1:125" ht="12.2">
      <c r="A2" s="5"/>
      <c r="B2" s="2"/>
      <c r="C2" s="2"/>
      <c r="D2" s="2"/>
      <c r="E2" s="2"/>
      <c r="F2" s="3"/>
      <c r="G2" s="1" t="s">
        <v>77</v>
      </c>
      <c r="H2" s="2" t="s">
        <v>78</v>
      </c>
      <c r="I2" s="2" t="s">
        <v>79</v>
      </c>
      <c r="J2" s="2" t="s">
        <v>80</v>
      </c>
      <c r="K2" s="1" t="s">
        <v>81</v>
      </c>
      <c r="L2" s="1" t="s">
        <v>82</v>
      </c>
      <c r="M2" s="1" t="s">
        <v>83</v>
      </c>
      <c r="N2" s="1" t="s">
        <v>84</v>
      </c>
      <c r="O2" s="1" t="s">
        <v>85</v>
      </c>
      <c r="P2" s="1" t="s">
        <v>86</v>
      </c>
      <c r="Q2" s="1" t="s">
        <v>81</v>
      </c>
      <c r="R2" s="1" t="s">
        <v>82</v>
      </c>
      <c r="S2" s="1" t="s">
        <v>83</v>
      </c>
      <c r="T2" s="1" t="s">
        <v>84</v>
      </c>
      <c r="U2" s="1" t="s">
        <v>85</v>
      </c>
      <c r="V2" s="1" t="s">
        <v>86</v>
      </c>
      <c r="W2" s="1" t="s">
        <v>87</v>
      </c>
      <c r="X2" s="1" t="s">
        <v>88</v>
      </c>
      <c r="Y2" s="1" t="s">
        <v>89</v>
      </c>
      <c r="Z2" s="1" t="s">
        <v>90</v>
      </c>
      <c r="AA2" s="1" t="s">
        <v>91</v>
      </c>
      <c r="AB2" s="1" t="s">
        <v>92</v>
      </c>
      <c r="AC2" s="1" t="s">
        <v>93</v>
      </c>
      <c r="AD2" s="1" t="s">
        <v>94</v>
      </c>
      <c r="AE2" s="1" t="s">
        <v>95</v>
      </c>
      <c r="AF2" s="1" t="s">
        <v>96</v>
      </c>
      <c r="AG2" s="1" t="s">
        <v>97</v>
      </c>
      <c r="AH2" s="1" t="s">
        <v>98</v>
      </c>
      <c r="AI2" s="1" t="s">
        <v>99</v>
      </c>
      <c r="AJ2" s="1" t="s">
        <v>100</v>
      </c>
      <c r="AK2" s="1" t="s">
        <v>101</v>
      </c>
      <c r="AL2" s="1" t="s">
        <v>102</v>
      </c>
      <c r="AM2" s="1" t="s">
        <v>103</v>
      </c>
      <c r="AN2" s="1" t="s">
        <v>104</v>
      </c>
      <c r="AO2" s="1" t="s">
        <v>105</v>
      </c>
      <c r="AP2" s="1" t="s">
        <v>106</v>
      </c>
      <c r="AQ2" s="1" t="s">
        <v>107</v>
      </c>
      <c r="AR2" s="1" t="s">
        <v>108</v>
      </c>
      <c r="AS2" s="1" t="s">
        <v>109</v>
      </c>
      <c r="AT2" s="1" t="s">
        <v>110</v>
      </c>
      <c r="AU2" s="1" t="s">
        <v>111</v>
      </c>
      <c r="AV2" s="1" t="s">
        <v>112</v>
      </c>
      <c r="AW2" s="1" t="s">
        <v>87</v>
      </c>
      <c r="AX2" s="1" t="s">
        <v>88</v>
      </c>
      <c r="AY2" s="1" t="s">
        <v>89</v>
      </c>
      <c r="AZ2" s="1" t="s">
        <v>90</v>
      </c>
      <c r="BA2" s="1" t="s">
        <v>91</v>
      </c>
      <c r="BB2" s="1" t="s">
        <v>92</v>
      </c>
      <c r="BC2" s="1" t="s">
        <v>93</v>
      </c>
      <c r="BD2" s="1" t="s">
        <v>94</v>
      </c>
      <c r="BE2" s="1" t="s">
        <v>95</v>
      </c>
      <c r="BF2" s="1" t="s">
        <v>96</v>
      </c>
      <c r="BG2" s="1" t="s">
        <v>97</v>
      </c>
      <c r="BH2" s="1" t="s">
        <v>98</v>
      </c>
      <c r="BI2" s="1" t="s">
        <v>99</v>
      </c>
      <c r="BJ2" s="1" t="s">
        <v>100</v>
      </c>
      <c r="BK2" s="1" t="s">
        <v>101</v>
      </c>
      <c r="BL2" s="1" t="s">
        <v>102</v>
      </c>
      <c r="BM2" s="1" t="s">
        <v>103</v>
      </c>
      <c r="BN2" s="1" t="s">
        <v>104</v>
      </c>
      <c r="BO2" s="1" t="s">
        <v>105</v>
      </c>
      <c r="BP2" s="1" t="s">
        <v>106</v>
      </c>
      <c r="BQ2" s="1" t="s">
        <v>107</v>
      </c>
      <c r="BR2" s="1" t="s">
        <v>108</v>
      </c>
      <c r="BS2" s="1" t="s">
        <v>109</v>
      </c>
      <c r="BT2" s="1" t="s">
        <v>110</v>
      </c>
      <c r="BU2" s="1" t="s">
        <v>111</v>
      </c>
      <c r="BV2" s="1" t="s">
        <v>112</v>
      </c>
      <c r="BW2" s="1" t="s">
        <v>113</v>
      </c>
      <c r="BX2" s="1" t="s">
        <v>114</v>
      </c>
      <c r="BY2" s="1" t="s">
        <v>115</v>
      </c>
      <c r="BZ2" s="1" t="s">
        <v>116</v>
      </c>
      <c r="CA2" s="1" t="s">
        <v>117</v>
      </c>
      <c r="CB2" s="1" t="s">
        <v>118</v>
      </c>
      <c r="CC2" s="1" t="s">
        <v>119</v>
      </c>
      <c r="CD2" s="1" t="s">
        <v>120</v>
      </c>
      <c r="CE2" s="1" t="s">
        <v>121</v>
      </c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3"/>
      <c r="DM2" s="3"/>
      <c r="DN2" s="2"/>
      <c r="DO2" s="2"/>
      <c r="DP2" s="2"/>
      <c r="DQ2" s="1"/>
      <c r="DR2" s="1"/>
      <c r="DS2" s="1"/>
      <c r="DT2" s="1"/>
      <c r="DU2" s="4"/>
    </row>
    <row r="3" spans="1:125" ht="12.2">
      <c r="A3" s="5"/>
      <c r="B3" s="2"/>
      <c r="C3" s="2"/>
      <c r="D3" s="2"/>
      <c r="E3" s="2"/>
      <c r="F3" s="3"/>
      <c r="G3" s="1">
        <v>8</v>
      </c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3"/>
      <c r="DM3" s="3"/>
      <c r="DN3" s="2"/>
      <c r="DO3" s="2"/>
      <c r="DP3" s="2"/>
      <c r="DQ3" s="1"/>
      <c r="DR3" s="1"/>
      <c r="DS3" s="1"/>
      <c r="DT3" s="1"/>
      <c r="DU3" s="4"/>
    </row>
    <row r="4" spans="1:125" ht="12.2">
      <c r="A4" s="5"/>
      <c r="B4" s="2"/>
      <c r="C4" s="2"/>
      <c r="D4" s="2"/>
      <c r="E4" s="2"/>
      <c r="F4" s="3"/>
      <c r="G4" s="1">
        <v>12</v>
      </c>
      <c r="H4" s="2" t="s">
        <v>122</v>
      </c>
      <c r="I4" s="2" t="s">
        <v>123</v>
      </c>
      <c r="J4" s="2" t="s">
        <v>124</v>
      </c>
      <c r="K4" s="1"/>
      <c r="L4" s="1">
        <v>6</v>
      </c>
      <c r="M4" s="1">
        <v>5</v>
      </c>
      <c r="N4" s="1">
        <v>5</v>
      </c>
      <c r="O4" s="1">
        <v>5</v>
      </c>
      <c r="P4" s="1">
        <v>5</v>
      </c>
      <c r="Q4" s="1"/>
      <c r="R4" s="1"/>
      <c r="S4" s="1"/>
      <c r="T4" s="1"/>
      <c r="U4" s="1"/>
      <c r="V4" s="1"/>
      <c r="W4" s="1">
        <v>7</v>
      </c>
      <c r="X4" s="1">
        <v>7</v>
      </c>
      <c r="Y4" s="1">
        <v>7</v>
      </c>
      <c r="Z4" s="1">
        <v>7</v>
      </c>
      <c r="AA4" s="1">
        <v>7</v>
      </c>
      <c r="AB4" s="1">
        <v>7</v>
      </c>
      <c r="AC4" s="1">
        <v>7</v>
      </c>
      <c r="AD4" s="1">
        <v>7</v>
      </c>
      <c r="AE4" s="1">
        <v>7</v>
      </c>
      <c r="AF4" s="1">
        <v>7</v>
      </c>
      <c r="AG4" s="1">
        <v>7</v>
      </c>
      <c r="AH4" s="1">
        <v>7</v>
      </c>
      <c r="AI4" s="1">
        <v>7</v>
      </c>
      <c r="AJ4" s="1">
        <v>7</v>
      </c>
      <c r="AK4" s="1">
        <v>7</v>
      </c>
      <c r="AL4" s="1">
        <v>7</v>
      </c>
      <c r="AM4" s="1">
        <v>7</v>
      </c>
      <c r="AN4" s="1">
        <v>7</v>
      </c>
      <c r="AO4" s="1">
        <v>7</v>
      </c>
      <c r="AP4" s="1">
        <v>7</v>
      </c>
      <c r="AQ4" s="1">
        <v>7</v>
      </c>
      <c r="AR4" s="1">
        <v>7</v>
      </c>
      <c r="AS4" s="1">
        <v>7</v>
      </c>
      <c r="AT4" s="1">
        <v>7</v>
      </c>
      <c r="AU4" s="1">
        <v>7</v>
      </c>
      <c r="AV4" s="1">
        <v>7</v>
      </c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>
        <v>4</v>
      </c>
      <c r="BX4" s="1">
        <v>7</v>
      </c>
      <c r="BY4" s="1">
        <v>7</v>
      </c>
      <c r="BZ4" s="1">
        <v>7</v>
      </c>
      <c r="CA4" s="1">
        <v>7</v>
      </c>
      <c r="CB4" s="1">
        <v>7</v>
      </c>
      <c r="CC4" s="1">
        <v>4</v>
      </c>
      <c r="CD4" s="1">
        <v>4</v>
      </c>
      <c r="CE4" s="1">
        <v>4</v>
      </c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3"/>
      <c r="DM4" s="3"/>
      <c r="DN4" s="2"/>
      <c r="DO4" s="2"/>
      <c r="DP4" s="2"/>
      <c r="DQ4" s="1"/>
      <c r="DR4" s="1"/>
      <c r="DS4" s="1"/>
      <c r="DT4" s="1"/>
      <c r="DU4" s="4"/>
    </row>
    <row r="5" spans="1:125" ht="12.2">
      <c r="A5" s="5"/>
      <c r="B5" s="2"/>
      <c r="C5" s="2"/>
      <c r="D5" s="2"/>
      <c r="E5" s="2"/>
      <c r="F5" s="3"/>
      <c r="G5" s="1">
        <v>18</v>
      </c>
      <c r="H5" s="2" t="s">
        <v>122</v>
      </c>
      <c r="I5" s="2" t="s">
        <v>125</v>
      </c>
      <c r="J5" s="2" t="s">
        <v>126</v>
      </c>
      <c r="K5" s="1">
        <v>6</v>
      </c>
      <c r="L5" s="1">
        <v>6</v>
      </c>
      <c r="M5" s="1">
        <v>6</v>
      </c>
      <c r="N5" s="1">
        <v>2</v>
      </c>
      <c r="O5" s="1">
        <v>6</v>
      </c>
      <c r="P5" s="1">
        <v>6</v>
      </c>
      <c r="Q5" s="1">
        <v>6</v>
      </c>
      <c r="R5" s="1">
        <v>6</v>
      </c>
      <c r="S5" s="1">
        <v>6</v>
      </c>
      <c r="T5" s="1">
        <v>2</v>
      </c>
      <c r="U5" s="1">
        <v>6</v>
      </c>
      <c r="V5" s="1">
        <v>6</v>
      </c>
      <c r="W5" s="1">
        <v>6</v>
      </c>
      <c r="X5" s="1">
        <v>6</v>
      </c>
      <c r="Y5" s="1">
        <v>6</v>
      </c>
      <c r="Z5" s="1">
        <v>6</v>
      </c>
      <c r="AA5" s="1">
        <v>6</v>
      </c>
      <c r="AB5" s="1">
        <v>6</v>
      </c>
      <c r="AC5" s="1">
        <v>6</v>
      </c>
      <c r="AD5" s="1">
        <v>6</v>
      </c>
      <c r="AE5" s="1">
        <v>6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3"/>
      <c r="DM5" s="3"/>
      <c r="DN5" s="2"/>
      <c r="DO5" s="2"/>
      <c r="DP5" s="2"/>
      <c r="DQ5" s="1"/>
      <c r="DR5" s="1"/>
      <c r="DS5" s="1"/>
      <c r="DT5" s="1"/>
      <c r="DU5" s="4"/>
    </row>
    <row r="6" spans="1:125" ht="12.2">
      <c r="A6" s="5"/>
      <c r="B6" s="2"/>
      <c r="C6" s="2"/>
      <c r="D6" s="2"/>
      <c r="E6" s="2"/>
      <c r="F6" s="3"/>
      <c r="G6" s="1">
        <v>19</v>
      </c>
      <c r="H6" s="2" t="s">
        <v>127</v>
      </c>
      <c r="I6" s="2" t="s">
        <v>128</v>
      </c>
      <c r="J6" s="2" t="s">
        <v>126</v>
      </c>
      <c r="K6" s="1">
        <v>6</v>
      </c>
      <c r="L6" s="1">
        <v>2</v>
      </c>
      <c r="M6" s="1">
        <v>2</v>
      </c>
      <c r="N6" s="1">
        <v>5</v>
      </c>
      <c r="O6" s="1">
        <v>6</v>
      </c>
      <c r="P6" s="1">
        <v>4</v>
      </c>
      <c r="Q6" s="1">
        <v>5</v>
      </c>
      <c r="R6" s="1">
        <v>5</v>
      </c>
      <c r="S6" s="1">
        <v>1</v>
      </c>
      <c r="T6" s="1">
        <v>3</v>
      </c>
      <c r="U6" s="1">
        <v>5</v>
      </c>
      <c r="V6" s="1">
        <v>4</v>
      </c>
      <c r="W6" s="1">
        <v>6</v>
      </c>
      <c r="X6" s="1">
        <v>4</v>
      </c>
      <c r="Y6" s="1">
        <v>1</v>
      </c>
      <c r="Z6" s="1">
        <v>3</v>
      </c>
      <c r="AA6" s="1">
        <v>1</v>
      </c>
      <c r="AB6" s="1">
        <v>6</v>
      </c>
      <c r="AC6" s="1">
        <v>6</v>
      </c>
      <c r="AD6" s="1">
        <v>5</v>
      </c>
      <c r="AE6" s="1">
        <v>6</v>
      </c>
      <c r="AF6" s="1">
        <v>1</v>
      </c>
      <c r="AG6" s="1">
        <v>6</v>
      </c>
      <c r="AH6" s="1">
        <v>1</v>
      </c>
      <c r="AI6" s="1">
        <v>3</v>
      </c>
      <c r="AJ6" s="1">
        <v>4</v>
      </c>
      <c r="AK6" s="1">
        <v>7</v>
      </c>
      <c r="AL6" s="1">
        <v>6</v>
      </c>
      <c r="AM6" s="1">
        <v>4</v>
      </c>
      <c r="AN6" s="1">
        <v>2</v>
      </c>
      <c r="AO6" s="1">
        <v>4</v>
      </c>
      <c r="AP6" s="1">
        <v>6</v>
      </c>
      <c r="AQ6" s="1">
        <v>5</v>
      </c>
      <c r="AR6" s="1">
        <v>5</v>
      </c>
      <c r="AS6" s="1">
        <v>3</v>
      </c>
      <c r="AT6" s="1">
        <v>1</v>
      </c>
      <c r="AU6" s="1">
        <v>2</v>
      </c>
      <c r="AV6" s="1">
        <v>7</v>
      </c>
      <c r="AW6" s="1">
        <v>4</v>
      </c>
      <c r="AX6" s="1">
        <v>5</v>
      </c>
      <c r="AY6" s="1">
        <v>5</v>
      </c>
      <c r="AZ6" s="1">
        <v>3</v>
      </c>
      <c r="BA6" s="1">
        <v>3</v>
      </c>
      <c r="BB6" s="1">
        <v>3</v>
      </c>
      <c r="BC6" s="1">
        <v>4</v>
      </c>
      <c r="BD6" s="1">
        <v>3</v>
      </c>
      <c r="BE6" s="1">
        <v>4</v>
      </c>
      <c r="BF6" s="1">
        <v>5</v>
      </c>
      <c r="BG6" s="1">
        <v>4</v>
      </c>
      <c r="BH6" s="1">
        <v>3</v>
      </c>
      <c r="BI6" s="1">
        <v>3</v>
      </c>
      <c r="BJ6" s="1">
        <v>4</v>
      </c>
      <c r="BK6" s="1">
        <v>2</v>
      </c>
      <c r="BL6" s="1">
        <v>4</v>
      </c>
      <c r="BM6" s="1">
        <v>4</v>
      </c>
      <c r="BN6" s="1">
        <v>4</v>
      </c>
      <c r="BO6" s="1">
        <v>2</v>
      </c>
      <c r="BP6" s="1">
        <v>4</v>
      </c>
      <c r="BQ6" s="1">
        <v>3</v>
      </c>
      <c r="BR6" s="1">
        <v>5</v>
      </c>
      <c r="BS6" s="1">
        <v>3</v>
      </c>
      <c r="BT6" s="1">
        <v>4</v>
      </c>
      <c r="BU6" s="1">
        <v>4</v>
      </c>
      <c r="BV6" s="1">
        <v>2</v>
      </c>
      <c r="BW6" s="1">
        <v>1</v>
      </c>
      <c r="BX6" s="1">
        <v>5</v>
      </c>
      <c r="BY6" s="1">
        <v>7</v>
      </c>
      <c r="BZ6" s="1">
        <v>6</v>
      </c>
      <c r="CA6" s="1">
        <v>6</v>
      </c>
      <c r="CB6" s="1">
        <v>1</v>
      </c>
      <c r="CC6" s="1">
        <v>4</v>
      </c>
      <c r="CD6" s="1">
        <v>6</v>
      </c>
      <c r="CE6" s="1">
        <v>3</v>
      </c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3"/>
      <c r="DM6" s="3"/>
      <c r="DN6" s="2"/>
      <c r="DO6" s="2"/>
      <c r="DP6" s="2"/>
      <c r="DQ6" s="1"/>
      <c r="DR6" s="1"/>
      <c r="DS6" s="1"/>
      <c r="DT6" s="1"/>
      <c r="DU6" s="4"/>
    </row>
    <row r="7" spans="1:125" ht="12.2">
      <c r="A7" s="5"/>
      <c r="B7" s="2"/>
      <c r="C7" s="2"/>
      <c r="D7" s="2"/>
      <c r="E7" s="2"/>
      <c r="F7" s="3"/>
      <c r="G7" s="1">
        <v>23</v>
      </c>
      <c r="H7" s="2" t="s">
        <v>122</v>
      </c>
      <c r="I7" s="2" t="s">
        <v>125</v>
      </c>
      <c r="J7" s="2" t="s">
        <v>129</v>
      </c>
      <c r="K7" s="1">
        <v>4</v>
      </c>
      <c r="L7" s="1">
        <v>5</v>
      </c>
      <c r="M7" s="1">
        <v>3</v>
      </c>
      <c r="N7" s="1">
        <v>3</v>
      </c>
      <c r="O7" s="1">
        <v>4</v>
      </c>
      <c r="P7" s="1">
        <v>4</v>
      </c>
      <c r="Q7" s="1">
        <v>3</v>
      </c>
      <c r="R7" s="1">
        <v>3</v>
      </c>
      <c r="S7" s="1">
        <v>2</v>
      </c>
      <c r="T7" s="1">
        <v>6</v>
      </c>
      <c r="U7" s="1">
        <v>3</v>
      </c>
      <c r="V7" s="1">
        <v>3</v>
      </c>
      <c r="W7" s="1">
        <v>5</v>
      </c>
      <c r="X7" s="1">
        <v>6</v>
      </c>
      <c r="Y7" s="1">
        <v>2</v>
      </c>
      <c r="Z7" s="1">
        <v>4</v>
      </c>
      <c r="AA7" s="1">
        <v>3</v>
      </c>
      <c r="AB7" s="1">
        <v>5</v>
      </c>
      <c r="AC7" s="1">
        <v>7</v>
      </c>
      <c r="AD7" s="1">
        <v>6</v>
      </c>
      <c r="AE7" s="1">
        <v>3</v>
      </c>
      <c r="AF7" s="1">
        <v>6</v>
      </c>
      <c r="AG7" s="1">
        <v>6</v>
      </c>
      <c r="AH7" s="1">
        <v>2</v>
      </c>
      <c r="AI7" s="1">
        <v>4</v>
      </c>
      <c r="AJ7" s="1">
        <v>4</v>
      </c>
      <c r="AK7" s="1">
        <v>4</v>
      </c>
      <c r="AL7" s="1">
        <v>5</v>
      </c>
      <c r="AM7" s="1">
        <v>3</v>
      </c>
      <c r="AN7" s="1">
        <v>4</v>
      </c>
      <c r="AO7" s="1">
        <v>4</v>
      </c>
      <c r="AP7" s="1">
        <v>3</v>
      </c>
      <c r="AQ7" s="1">
        <v>3</v>
      </c>
      <c r="AR7" s="1">
        <v>5</v>
      </c>
      <c r="AS7" s="1">
        <v>5</v>
      </c>
      <c r="AT7" s="1">
        <v>3</v>
      </c>
      <c r="AU7" s="1">
        <v>4</v>
      </c>
      <c r="AV7" s="1">
        <v>3</v>
      </c>
      <c r="AW7" s="1">
        <v>6</v>
      </c>
      <c r="AX7" s="1">
        <v>6</v>
      </c>
      <c r="AY7" s="1">
        <v>2</v>
      </c>
      <c r="AZ7" s="1">
        <v>2</v>
      </c>
      <c r="BA7" s="1">
        <v>2</v>
      </c>
      <c r="BB7" s="1">
        <v>6</v>
      </c>
      <c r="BC7" s="1">
        <v>6</v>
      </c>
      <c r="BD7" s="1">
        <v>6</v>
      </c>
      <c r="BE7" s="1">
        <v>2</v>
      </c>
      <c r="BF7" s="1">
        <v>2</v>
      </c>
      <c r="BG7" s="1">
        <v>6</v>
      </c>
      <c r="BH7" s="1">
        <v>2</v>
      </c>
      <c r="BI7" s="1">
        <v>6</v>
      </c>
      <c r="BJ7" s="1">
        <v>6</v>
      </c>
      <c r="BK7" s="1">
        <v>5</v>
      </c>
      <c r="BL7" s="1">
        <v>6</v>
      </c>
      <c r="BM7" s="1">
        <v>2</v>
      </c>
      <c r="BN7" s="1">
        <v>3</v>
      </c>
      <c r="BO7" s="1">
        <v>2</v>
      </c>
      <c r="BP7" s="1">
        <v>6</v>
      </c>
      <c r="BQ7" s="1">
        <v>2</v>
      </c>
      <c r="BR7" s="1">
        <v>6</v>
      </c>
      <c r="BS7" s="1">
        <v>3</v>
      </c>
      <c r="BT7" s="1">
        <v>3</v>
      </c>
      <c r="BU7" s="1">
        <v>3</v>
      </c>
      <c r="BV7" s="1">
        <v>5</v>
      </c>
      <c r="BW7" s="1">
        <v>4</v>
      </c>
      <c r="BX7" s="1">
        <v>7</v>
      </c>
      <c r="BY7" s="1">
        <v>7</v>
      </c>
      <c r="BZ7" s="1">
        <v>6</v>
      </c>
      <c r="CA7" s="1">
        <v>6</v>
      </c>
      <c r="CB7" s="1">
        <v>1</v>
      </c>
      <c r="CC7" s="1">
        <v>2</v>
      </c>
      <c r="CD7" s="1">
        <v>4</v>
      </c>
      <c r="CE7" s="1">
        <v>6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3"/>
      <c r="DM7" s="3"/>
      <c r="DN7" s="2"/>
      <c r="DO7" s="2"/>
      <c r="DP7" s="2"/>
      <c r="DQ7" s="1"/>
      <c r="DR7" s="1"/>
      <c r="DS7" s="1"/>
      <c r="DT7" s="1"/>
      <c r="DU7" s="4"/>
    </row>
    <row r="8" spans="1:125" ht="12.2">
      <c r="A8" s="5"/>
      <c r="B8" s="2"/>
      <c r="C8" s="2"/>
      <c r="D8" s="2"/>
      <c r="E8" s="2"/>
      <c r="F8" s="3"/>
      <c r="G8" s="1">
        <v>25</v>
      </c>
      <c r="H8" s="2" t="s">
        <v>122</v>
      </c>
      <c r="I8" s="2" t="s">
        <v>125</v>
      </c>
      <c r="J8" s="2" t="s">
        <v>130</v>
      </c>
      <c r="K8" s="1">
        <v>5</v>
      </c>
      <c r="L8" s="1">
        <v>4</v>
      </c>
      <c r="M8" s="1">
        <v>2</v>
      </c>
      <c r="N8" s="1">
        <v>6</v>
      </c>
      <c r="O8" s="1">
        <v>3</v>
      </c>
      <c r="P8" s="1">
        <v>5</v>
      </c>
      <c r="Q8" s="1">
        <v>3</v>
      </c>
      <c r="R8" s="1">
        <v>5</v>
      </c>
      <c r="S8" s="1">
        <v>2</v>
      </c>
      <c r="T8" s="1">
        <v>6</v>
      </c>
      <c r="U8" s="1">
        <v>2</v>
      </c>
      <c r="V8" s="1">
        <v>3</v>
      </c>
      <c r="W8" s="1">
        <v>5</v>
      </c>
      <c r="X8" s="1">
        <v>3</v>
      </c>
      <c r="Y8" s="1">
        <v>2</v>
      </c>
      <c r="Z8" s="1">
        <v>3</v>
      </c>
      <c r="AA8" s="1">
        <v>4</v>
      </c>
      <c r="AB8" s="1">
        <v>6</v>
      </c>
      <c r="AC8" s="1">
        <v>5</v>
      </c>
      <c r="AD8" s="1">
        <v>4</v>
      </c>
      <c r="AE8" s="1">
        <v>3</v>
      </c>
      <c r="AF8" s="1">
        <v>2</v>
      </c>
      <c r="AG8" s="1">
        <v>4</v>
      </c>
      <c r="AH8" s="1">
        <v>3</v>
      </c>
      <c r="AI8" s="1">
        <v>5</v>
      </c>
      <c r="AJ8" s="1">
        <v>4</v>
      </c>
      <c r="AK8" s="1">
        <v>6</v>
      </c>
      <c r="AL8" s="1">
        <v>5</v>
      </c>
      <c r="AM8" s="1">
        <v>5</v>
      </c>
      <c r="AN8" s="1">
        <v>3</v>
      </c>
      <c r="AO8" s="1">
        <v>3</v>
      </c>
      <c r="AP8" s="1">
        <v>4</v>
      </c>
      <c r="AQ8" s="1">
        <v>5</v>
      </c>
      <c r="AR8" s="1">
        <v>4</v>
      </c>
      <c r="AS8" s="1">
        <v>2</v>
      </c>
      <c r="AT8" s="1">
        <v>3</v>
      </c>
      <c r="AU8" s="1">
        <v>2</v>
      </c>
      <c r="AV8" s="1">
        <v>6</v>
      </c>
      <c r="AW8" s="1">
        <v>5</v>
      </c>
      <c r="AX8" s="1">
        <v>6</v>
      </c>
      <c r="AY8" s="1">
        <v>3</v>
      </c>
      <c r="AZ8" s="1">
        <v>3</v>
      </c>
      <c r="BA8" s="1">
        <v>3</v>
      </c>
      <c r="BB8" s="1">
        <v>5</v>
      </c>
      <c r="BC8" s="1">
        <v>6</v>
      </c>
      <c r="BD8" s="1">
        <v>6</v>
      </c>
      <c r="BE8" s="1">
        <v>3</v>
      </c>
      <c r="BF8" s="1">
        <v>3</v>
      </c>
      <c r="BG8" s="1">
        <v>6</v>
      </c>
      <c r="BH8" s="1">
        <v>3</v>
      </c>
      <c r="BI8" s="1">
        <v>3</v>
      </c>
      <c r="BJ8" s="1">
        <v>6</v>
      </c>
      <c r="BK8" s="1">
        <v>5</v>
      </c>
      <c r="BL8" s="1">
        <v>6</v>
      </c>
      <c r="BM8" s="1">
        <v>3</v>
      </c>
      <c r="BN8" s="1">
        <v>3</v>
      </c>
      <c r="BO8" s="1">
        <v>3</v>
      </c>
      <c r="BP8" s="1">
        <v>5</v>
      </c>
      <c r="BQ8" s="1">
        <v>5</v>
      </c>
      <c r="BR8" s="1">
        <v>6</v>
      </c>
      <c r="BS8" s="1">
        <v>3</v>
      </c>
      <c r="BT8" s="1">
        <v>3</v>
      </c>
      <c r="BU8" s="1">
        <v>2</v>
      </c>
      <c r="BV8" s="1">
        <v>4</v>
      </c>
      <c r="BW8" s="1">
        <v>2</v>
      </c>
      <c r="BX8" s="1">
        <v>5</v>
      </c>
      <c r="BY8" s="1">
        <v>6</v>
      </c>
      <c r="BZ8" s="1">
        <v>6</v>
      </c>
      <c r="CA8" s="1">
        <v>7</v>
      </c>
      <c r="CB8" s="1">
        <v>2</v>
      </c>
      <c r="CC8" s="1">
        <v>6</v>
      </c>
      <c r="CD8" s="1">
        <v>6</v>
      </c>
      <c r="CE8" s="1">
        <v>6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3"/>
      <c r="DM8" s="3"/>
      <c r="DN8" s="2"/>
      <c r="DO8" s="2"/>
      <c r="DP8" s="2"/>
      <c r="DQ8" s="1"/>
      <c r="DR8" s="1"/>
      <c r="DS8" s="1"/>
      <c r="DT8" s="1"/>
      <c r="DU8" s="4"/>
    </row>
    <row r="9" spans="1:125" ht="12.2">
      <c r="A9" s="5"/>
      <c r="B9" s="2"/>
      <c r="C9" s="2"/>
      <c r="D9" s="2"/>
      <c r="E9" s="2"/>
      <c r="F9" s="3"/>
      <c r="G9" s="1">
        <v>29</v>
      </c>
      <c r="H9" s="2" t="s">
        <v>122</v>
      </c>
      <c r="I9" s="2" t="s">
        <v>131</v>
      </c>
      <c r="J9" s="2" t="s">
        <v>126</v>
      </c>
      <c r="K9" s="1">
        <v>6</v>
      </c>
      <c r="L9" s="1">
        <v>1</v>
      </c>
      <c r="M9" s="1">
        <v>1</v>
      </c>
      <c r="N9" s="1">
        <v>6</v>
      </c>
      <c r="O9" s="1">
        <v>6</v>
      </c>
      <c r="P9" s="1">
        <v>1</v>
      </c>
      <c r="Q9" s="1">
        <v>5</v>
      </c>
      <c r="R9" s="1">
        <v>1</v>
      </c>
      <c r="S9" s="1">
        <v>1</v>
      </c>
      <c r="T9" s="1">
        <v>7</v>
      </c>
      <c r="U9" s="1">
        <v>4</v>
      </c>
      <c r="V9" s="1">
        <v>1</v>
      </c>
      <c r="W9" s="1">
        <v>7</v>
      </c>
      <c r="X9" s="1">
        <v>6</v>
      </c>
      <c r="Y9" s="1">
        <v>1</v>
      </c>
      <c r="Z9" s="1">
        <v>2</v>
      </c>
      <c r="AA9" s="1">
        <v>1</v>
      </c>
      <c r="AB9" s="1">
        <v>7</v>
      </c>
      <c r="AC9" s="1">
        <v>7</v>
      </c>
      <c r="AD9" s="1">
        <v>4</v>
      </c>
      <c r="AE9" s="1">
        <v>2</v>
      </c>
      <c r="AF9" s="1">
        <v>1</v>
      </c>
      <c r="AG9" s="1">
        <v>7</v>
      </c>
      <c r="AH9" s="1">
        <v>1</v>
      </c>
      <c r="AI9" s="1">
        <v>7</v>
      </c>
      <c r="AJ9" s="1">
        <v>7</v>
      </c>
      <c r="AK9" s="1">
        <v>7</v>
      </c>
      <c r="AL9" s="1">
        <v>7</v>
      </c>
      <c r="AM9" s="1">
        <v>1</v>
      </c>
      <c r="AN9" s="1">
        <v>1</v>
      </c>
      <c r="AO9" s="1">
        <v>6</v>
      </c>
      <c r="AP9" s="1">
        <v>7</v>
      </c>
      <c r="AQ9" s="1">
        <v>1</v>
      </c>
      <c r="AR9" s="1">
        <v>5</v>
      </c>
      <c r="AS9" s="1">
        <v>1</v>
      </c>
      <c r="AT9" s="1">
        <v>1</v>
      </c>
      <c r="AU9" s="1">
        <v>1</v>
      </c>
      <c r="AV9" s="1">
        <v>7</v>
      </c>
      <c r="AW9" s="1">
        <v>7</v>
      </c>
      <c r="AX9" s="1">
        <v>7</v>
      </c>
      <c r="AY9" s="1">
        <v>1</v>
      </c>
      <c r="AZ9" s="1">
        <v>2</v>
      </c>
      <c r="BA9" s="1">
        <v>1</v>
      </c>
      <c r="BB9" s="1">
        <v>7</v>
      </c>
      <c r="BC9" s="1">
        <v>7</v>
      </c>
      <c r="BD9" s="1">
        <v>4</v>
      </c>
      <c r="BE9" s="1">
        <v>1</v>
      </c>
      <c r="BF9" s="1">
        <v>1</v>
      </c>
      <c r="BG9" s="1">
        <v>7</v>
      </c>
      <c r="BH9" s="1">
        <v>1</v>
      </c>
      <c r="BI9" s="1">
        <v>7</v>
      </c>
      <c r="BJ9" s="1">
        <v>7</v>
      </c>
      <c r="BK9" s="1">
        <v>7</v>
      </c>
      <c r="BL9" s="1">
        <v>7</v>
      </c>
      <c r="BM9" s="1">
        <v>1</v>
      </c>
      <c r="BN9" s="1">
        <v>1</v>
      </c>
      <c r="BO9" s="1">
        <v>4</v>
      </c>
      <c r="BP9" s="1">
        <v>7</v>
      </c>
      <c r="BQ9" s="1">
        <v>1</v>
      </c>
      <c r="BR9" s="1">
        <v>7</v>
      </c>
      <c r="BS9" s="1">
        <v>1</v>
      </c>
      <c r="BT9" s="1">
        <v>1</v>
      </c>
      <c r="BU9" s="1">
        <v>1</v>
      </c>
      <c r="BV9" s="1">
        <v>7</v>
      </c>
      <c r="BW9" s="1">
        <v>6</v>
      </c>
      <c r="BX9" s="1">
        <v>7</v>
      </c>
      <c r="BY9" s="1">
        <v>7</v>
      </c>
      <c r="BZ9" s="1">
        <v>7</v>
      </c>
      <c r="CA9" s="1">
        <v>7</v>
      </c>
      <c r="CB9" s="1">
        <v>3</v>
      </c>
      <c r="CC9" s="1">
        <v>6</v>
      </c>
      <c r="CD9" s="1">
        <v>7</v>
      </c>
      <c r="CE9" s="1">
        <v>7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3"/>
      <c r="DM9" s="3"/>
      <c r="DN9" s="2"/>
      <c r="DO9" s="2"/>
      <c r="DP9" s="2"/>
      <c r="DQ9" s="1"/>
      <c r="DR9" s="1"/>
      <c r="DS9" s="1"/>
      <c r="DT9" s="1"/>
      <c r="DU9" s="4"/>
    </row>
    <row r="10" spans="1:125" ht="12.2">
      <c r="A10" s="5"/>
      <c r="B10" s="2"/>
      <c r="C10" s="2"/>
      <c r="D10" s="2"/>
      <c r="E10" s="2"/>
      <c r="F10" s="3"/>
      <c r="G10" s="1">
        <v>30</v>
      </c>
      <c r="H10" s="2" t="s">
        <v>127</v>
      </c>
      <c r="I10" s="2" t="s">
        <v>131</v>
      </c>
      <c r="J10" s="2" t="s">
        <v>132</v>
      </c>
      <c r="K10" s="1">
        <v>6</v>
      </c>
      <c r="L10" s="1">
        <v>3</v>
      </c>
      <c r="M10" s="1">
        <v>5</v>
      </c>
      <c r="N10" s="1">
        <v>3</v>
      </c>
      <c r="O10" s="1">
        <v>6</v>
      </c>
      <c r="P10" s="1">
        <v>3</v>
      </c>
      <c r="Q10" s="1">
        <v>5</v>
      </c>
      <c r="R10" s="1">
        <v>2</v>
      </c>
      <c r="S10" s="1">
        <v>5</v>
      </c>
      <c r="T10" s="1">
        <v>3</v>
      </c>
      <c r="U10" s="1">
        <v>5</v>
      </c>
      <c r="V10" s="1">
        <v>5</v>
      </c>
      <c r="W10" s="1">
        <v>5</v>
      </c>
      <c r="X10" s="1">
        <v>3</v>
      </c>
      <c r="Y10" s="1">
        <v>1</v>
      </c>
      <c r="Z10" s="1">
        <v>6</v>
      </c>
      <c r="AA10" s="1">
        <v>2</v>
      </c>
      <c r="AB10" s="1">
        <v>6</v>
      </c>
      <c r="AC10" s="1">
        <v>6</v>
      </c>
      <c r="AD10" s="1">
        <v>3</v>
      </c>
      <c r="AE10" s="1">
        <v>2</v>
      </c>
      <c r="AF10" s="1">
        <v>1</v>
      </c>
      <c r="AG10" s="1">
        <v>6</v>
      </c>
      <c r="AH10" s="1">
        <v>1</v>
      </c>
      <c r="AI10" s="1">
        <v>4</v>
      </c>
      <c r="AJ10" s="1">
        <v>5</v>
      </c>
      <c r="AK10" s="1">
        <v>6</v>
      </c>
      <c r="AL10" s="1">
        <v>5</v>
      </c>
      <c r="AM10" s="1">
        <v>4</v>
      </c>
      <c r="AN10" s="1">
        <v>1</v>
      </c>
      <c r="AO10" s="1">
        <v>2</v>
      </c>
      <c r="AP10" s="1">
        <v>5</v>
      </c>
      <c r="AQ10" s="1">
        <v>4</v>
      </c>
      <c r="AR10" s="1">
        <v>4</v>
      </c>
      <c r="AS10" s="1">
        <v>4</v>
      </c>
      <c r="AT10" s="1">
        <v>3</v>
      </c>
      <c r="AU10" s="1">
        <v>3</v>
      </c>
      <c r="AV10" s="1">
        <v>6</v>
      </c>
      <c r="AW10" s="1">
        <v>6</v>
      </c>
      <c r="AX10" s="1">
        <v>6</v>
      </c>
      <c r="AY10" s="1">
        <v>2</v>
      </c>
      <c r="AZ10" s="1">
        <v>4</v>
      </c>
      <c r="BA10" s="1">
        <v>2</v>
      </c>
      <c r="BB10" s="1">
        <v>6</v>
      </c>
      <c r="BC10" s="1">
        <v>6</v>
      </c>
      <c r="BD10" s="1">
        <v>4</v>
      </c>
      <c r="BE10" s="1">
        <v>1</v>
      </c>
      <c r="BF10" s="1">
        <v>2</v>
      </c>
      <c r="BG10" s="1">
        <v>6</v>
      </c>
      <c r="BH10" s="1">
        <v>2</v>
      </c>
      <c r="BI10" s="1">
        <v>4</v>
      </c>
      <c r="BJ10" s="1">
        <v>6</v>
      </c>
      <c r="BK10" s="1">
        <v>6</v>
      </c>
      <c r="BL10" s="1">
        <v>6</v>
      </c>
      <c r="BM10" s="1">
        <v>3</v>
      </c>
      <c r="BN10" s="1">
        <v>1</v>
      </c>
      <c r="BO10" s="1">
        <v>2</v>
      </c>
      <c r="BP10" s="1">
        <v>6</v>
      </c>
      <c r="BQ10" s="1">
        <v>3</v>
      </c>
      <c r="BR10" s="1">
        <v>4</v>
      </c>
      <c r="BS10" s="1">
        <v>3</v>
      </c>
      <c r="BT10" s="1">
        <v>2</v>
      </c>
      <c r="BU10" s="1">
        <v>2</v>
      </c>
      <c r="BV10" s="1">
        <v>6</v>
      </c>
      <c r="BW10" s="1">
        <v>1</v>
      </c>
      <c r="BX10" s="1">
        <v>6</v>
      </c>
      <c r="BY10" s="1">
        <v>3</v>
      </c>
      <c r="BZ10" s="1">
        <v>7</v>
      </c>
      <c r="CA10" s="1">
        <v>7</v>
      </c>
      <c r="CB10" s="1">
        <v>3</v>
      </c>
      <c r="CC10" s="1">
        <v>1</v>
      </c>
      <c r="CD10" s="1">
        <v>6</v>
      </c>
      <c r="CE10" s="1">
        <v>2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3"/>
      <c r="DM10" s="3"/>
      <c r="DN10" s="2"/>
      <c r="DO10" s="2"/>
      <c r="DP10" s="2"/>
      <c r="DQ10" s="1"/>
      <c r="DR10" s="1"/>
      <c r="DS10" s="1"/>
      <c r="DT10" s="1"/>
      <c r="DU10" s="4"/>
    </row>
    <row r="11" spans="1:125" ht="12.2">
      <c r="A11" s="5"/>
      <c r="B11" s="2"/>
      <c r="C11" s="2"/>
      <c r="D11" s="2"/>
      <c r="E11" s="2"/>
      <c r="F11" s="3"/>
      <c r="G11" s="1">
        <v>33</v>
      </c>
      <c r="H11" s="2" t="s">
        <v>122</v>
      </c>
      <c r="I11" s="2" t="s">
        <v>128</v>
      </c>
      <c r="J11" s="2" t="s">
        <v>126</v>
      </c>
      <c r="K11" s="1">
        <v>5</v>
      </c>
      <c r="L11" s="1">
        <v>5</v>
      </c>
      <c r="M11" s="1">
        <v>3</v>
      </c>
      <c r="N11" s="1">
        <v>5</v>
      </c>
      <c r="O11" s="1">
        <v>5</v>
      </c>
      <c r="P11" s="1">
        <v>2</v>
      </c>
      <c r="Q11" s="1">
        <v>4</v>
      </c>
      <c r="R11" s="1">
        <v>3</v>
      </c>
      <c r="S11" s="1">
        <v>3</v>
      </c>
      <c r="T11" s="1">
        <v>4</v>
      </c>
      <c r="U11" s="1">
        <v>5</v>
      </c>
      <c r="V11" s="1">
        <v>4</v>
      </c>
      <c r="W11" s="1">
        <v>6</v>
      </c>
      <c r="X11" s="1">
        <v>5</v>
      </c>
      <c r="Y11" s="1">
        <v>2</v>
      </c>
      <c r="Z11" s="1">
        <v>2</v>
      </c>
      <c r="AA11" s="1">
        <v>2</v>
      </c>
      <c r="AB11" s="1">
        <v>7</v>
      </c>
      <c r="AC11" s="1">
        <v>6</v>
      </c>
      <c r="AD11" s="1">
        <v>3</v>
      </c>
      <c r="AE11" s="1">
        <v>4</v>
      </c>
      <c r="AF11" s="1">
        <v>3</v>
      </c>
      <c r="AG11" s="1">
        <v>5</v>
      </c>
      <c r="AH11" s="1">
        <v>2</v>
      </c>
      <c r="AI11" s="1">
        <v>6</v>
      </c>
      <c r="AJ11" s="1">
        <v>4</v>
      </c>
      <c r="AK11" s="1">
        <v>5</v>
      </c>
      <c r="AL11" s="1">
        <v>6</v>
      </c>
      <c r="AM11" s="1">
        <v>3</v>
      </c>
      <c r="AN11" s="1">
        <v>2</v>
      </c>
      <c r="AO11" s="1">
        <v>4</v>
      </c>
      <c r="AP11" s="1">
        <v>5</v>
      </c>
      <c r="AQ11" s="1">
        <v>3</v>
      </c>
      <c r="AR11" s="1">
        <v>5</v>
      </c>
      <c r="AS11" s="1">
        <v>2</v>
      </c>
      <c r="AT11" s="1">
        <v>2</v>
      </c>
      <c r="AU11" s="1">
        <v>2</v>
      </c>
      <c r="AV11" s="1">
        <v>5</v>
      </c>
      <c r="AW11" s="1">
        <v>5</v>
      </c>
      <c r="AX11" s="1">
        <v>6</v>
      </c>
      <c r="AY11" s="1">
        <v>2</v>
      </c>
      <c r="AZ11" s="1">
        <v>2</v>
      </c>
      <c r="BA11" s="1">
        <v>2</v>
      </c>
      <c r="BB11" s="1">
        <v>5</v>
      </c>
      <c r="BC11" s="1">
        <v>6</v>
      </c>
      <c r="BD11" s="1">
        <v>3</v>
      </c>
      <c r="BE11" s="1">
        <v>5</v>
      </c>
      <c r="BF11" s="1">
        <v>1</v>
      </c>
      <c r="BG11" s="1">
        <v>6</v>
      </c>
      <c r="BH11" s="1">
        <v>2</v>
      </c>
      <c r="BI11" s="1">
        <v>7</v>
      </c>
      <c r="BJ11" s="1">
        <v>6</v>
      </c>
      <c r="BK11" s="1">
        <v>6</v>
      </c>
      <c r="BL11" s="1">
        <v>6</v>
      </c>
      <c r="BM11" s="1">
        <v>2</v>
      </c>
      <c r="BN11" s="1">
        <v>2</v>
      </c>
      <c r="BO11" s="1">
        <v>4</v>
      </c>
      <c r="BP11" s="1">
        <v>7</v>
      </c>
      <c r="BQ11" s="1">
        <v>2</v>
      </c>
      <c r="BR11" s="1">
        <v>7</v>
      </c>
      <c r="BS11" s="1">
        <v>1</v>
      </c>
      <c r="BT11" s="1">
        <v>1</v>
      </c>
      <c r="BU11" s="1">
        <v>1</v>
      </c>
      <c r="BV11" s="1">
        <v>7</v>
      </c>
      <c r="BW11" s="1">
        <v>3</v>
      </c>
      <c r="BX11" s="1">
        <v>6</v>
      </c>
      <c r="BY11" s="1">
        <v>6</v>
      </c>
      <c r="BZ11" s="1">
        <v>6</v>
      </c>
      <c r="CA11" s="1">
        <v>7</v>
      </c>
      <c r="CB11" s="1">
        <v>4</v>
      </c>
      <c r="CC11" s="1">
        <v>1</v>
      </c>
      <c r="CD11" s="1">
        <v>6</v>
      </c>
      <c r="CE11" s="1">
        <v>5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3"/>
      <c r="DM11" s="3"/>
      <c r="DN11" s="2"/>
      <c r="DO11" s="2"/>
      <c r="DP11" s="2"/>
      <c r="DQ11" s="1"/>
      <c r="DR11" s="1"/>
      <c r="DS11" s="1"/>
      <c r="DT11" s="1"/>
      <c r="DU11" s="4"/>
    </row>
    <row r="12" spans="1:125" ht="12.2">
      <c r="A12" s="5"/>
      <c r="B12" s="2"/>
      <c r="C12" s="2"/>
      <c r="D12" s="2"/>
      <c r="E12" s="2"/>
      <c r="F12" s="3"/>
      <c r="G12" s="1">
        <v>34</v>
      </c>
      <c r="H12" s="2" t="s">
        <v>122</v>
      </c>
      <c r="I12" s="2" t="s">
        <v>125</v>
      </c>
      <c r="J12" s="2" t="s">
        <v>133</v>
      </c>
      <c r="K12" s="1">
        <v>3</v>
      </c>
      <c r="L12" s="1">
        <v>2</v>
      </c>
      <c r="M12" s="1">
        <v>3</v>
      </c>
      <c r="N12" s="1">
        <v>6</v>
      </c>
      <c r="O12" s="1">
        <v>6</v>
      </c>
      <c r="P12" s="1">
        <v>1</v>
      </c>
      <c r="Q12" s="1">
        <v>6</v>
      </c>
      <c r="R12" s="1">
        <v>7</v>
      </c>
      <c r="S12" s="1">
        <v>5</v>
      </c>
      <c r="T12" s="1">
        <v>4</v>
      </c>
      <c r="U12" s="1">
        <v>6</v>
      </c>
      <c r="V12" s="1">
        <v>2</v>
      </c>
      <c r="W12" s="1">
        <v>5</v>
      </c>
      <c r="X12" s="1">
        <v>7</v>
      </c>
      <c r="Y12" s="1">
        <v>2</v>
      </c>
      <c r="Z12" s="1">
        <v>1</v>
      </c>
      <c r="AA12" s="1">
        <v>1</v>
      </c>
      <c r="AB12" s="1">
        <v>6</v>
      </c>
      <c r="AC12" s="1">
        <v>7</v>
      </c>
      <c r="AD12" s="1">
        <v>5</v>
      </c>
      <c r="AE12" s="1">
        <v>3</v>
      </c>
      <c r="AF12" s="1">
        <v>3</v>
      </c>
      <c r="AG12" s="1">
        <v>7</v>
      </c>
      <c r="AH12" s="1">
        <v>1</v>
      </c>
      <c r="AI12" s="1">
        <v>6</v>
      </c>
      <c r="AJ12" s="1">
        <v>6</v>
      </c>
      <c r="AK12" s="1">
        <v>5</v>
      </c>
      <c r="AL12" s="1">
        <v>7</v>
      </c>
      <c r="AM12" s="1">
        <v>1</v>
      </c>
      <c r="AN12" s="1">
        <v>2</v>
      </c>
      <c r="AO12" s="1">
        <v>1</v>
      </c>
      <c r="AP12" s="1">
        <v>6</v>
      </c>
      <c r="AQ12" s="1">
        <v>3</v>
      </c>
      <c r="AR12" s="1">
        <v>6</v>
      </c>
      <c r="AS12" s="1">
        <v>1</v>
      </c>
      <c r="AT12" s="1">
        <v>1</v>
      </c>
      <c r="AU12" s="1">
        <v>1</v>
      </c>
      <c r="AV12" s="1">
        <v>6</v>
      </c>
      <c r="AW12" s="1">
        <v>6</v>
      </c>
      <c r="AX12" s="1">
        <v>7</v>
      </c>
      <c r="AY12" s="1">
        <v>1</v>
      </c>
      <c r="AZ12" s="1">
        <v>3</v>
      </c>
      <c r="BA12" s="1">
        <v>1</v>
      </c>
      <c r="BB12" s="1">
        <v>7</v>
      </c>
      <c r="BC12" s="1">
        <v>7</v>
      </c>
      <c r="BD12" s="1">
        <v>5</v>
      </c>
      <c r="BE12" s="1">
        <v>3</v>
      </c>
      <c r="BF12" s="1">
        <v>2</v>
      </c>
      <c r="BG12" s="1">
        <v>6</v>
      </c>
      <c r="BH12" s="1">
        <v>1</v>
      </c>
      <c r="BI12" s="1">
        <v>5</v>
      </c>
      <c r="BJ12" s="1">
        <v>6</v>
      </c>
      <c r="BK12" s="1">
        <v>7</v>
      </c>
      <c r="BL12" s="1">
        <v>5</v>
      </c>
      <c r="BM12" s="1">
        <v>2</v>
      </c>
      <c r="BN12" s="1">
        <v>1</v>
      </c>
      <c r="BO12" s="1">
        <v>3</v>
      </c>
      <c r="BP12" s="1">
        <v>6</v>
      </c>
      <c r="BQ12" s="1">
        <v>2</v>
      </c>
      <c r="BR12" s="1">
        <v>6</v>
      </c>
      <c r="BS12" s="1">
        <v>2</v>
      </c>
      <c r="BT12" s="1">
        <v>1</v>
      </c>
      <c r="BU12" s="1">
        <v>2</v>
      </c>
      <c r="BV12" s="1">
        <v>6</v>
      </c>
      <c r="BW12" s="1">
        <v>6</v>
      </c>
      <c r="BX12" s="1">
        <v>6</v>
      </c>
      <c r="BY12" s="1">
        <v>7</v>
      </c>
      <c r="BZ12" s="1">
        <v>7</v>
      </c>
      <c r="CA12" s="1">
        <v>7</v>
      </c>
      <c r="CB12" s="1">
        <v>3</v>
      </c>
      <c r="CC12" s="1">
        <v>2</v>
      </c>
      <c r="CD12" s="1">
        <v>7</v>
      </c>
      <c r="CE12" s="1">
        <v>5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3"/>
      <c r="DM12" s="3"/>
      <c r="DN12" s="2"/>
      <c r="DO12" s="2"/>
      <c r="DP12" s="2"/>
      <c r="DQ12" s="1"/>
      <c r="DR12" s="1"/>
      <c r="DS12" s="1"/>
      <c r="DT12" s="1"/>
      <c r="DU12" s="4"/>
    </row>
    <row r="13" spans="1:125" ht="12.2">
      <c r="A13" s="5"/>
      <c r="B13" s="2"/>
      <c r="C13" s="2"/>
      <c r="D13" s="2"/>
      <c r="E13" s="2"/>
      <c r="F13" s="3"/>
      <c r="G13" s="1">
        <v>35</v>
      </c>
      <c r="H13" s="2" t="s">
        <v>127</v>
      </c>
      <c r="I13" s="2" t="s">
        <v>125</v>
      </c>
      <c r="J13" s="2" t="s">
        <v>126</v>
      </c>
      <c r="K13" s="1">
        <v>7</v>
      </c>
      <c r="L13" s="1">
        <v>3</v>
      </c>
      <c r="M13" s="1">
        <v>5</v>
      </c>
      <c r="N13" s="1">
        <v>2</v>
      </c>
      <c r="O13" s="1">
        <v>5</v>
      </c>
      <c r="P13" s="1">
        <v>4</v>
      </c>
      <c r="Q13" s="1">
        <v>5</v>
      </c>
      <c r="R13" s="1">
        <v>1</v>
      </c>
      <c r="S13" s="1">
        <v>2</v>
      </c>
      <c r="T13" s="1">
        <v>7</v>
      </c>
      <c r="U13" s="1">
        <v>4</v>
      </c>
      <c r="V13" s="1">
        <v>1</v>
      </c>
      <c r="W13" s="1">
        <v>4</v>
      </c>
      <c r="X13" s="1">
        <v>5</v>
      </c>
      <c r="Y13" s="1">
        <v>1</v>
      </c>
      <c r="Z13" s="1">
        <v>2</v>
      </c>
      <c r="AA13" s="1">
        <v>4</v>
      </c>
      <c r="AB13" s="1">
        <v>6</v>
      </c>
      <c r="AC13" s="1">
        <v>7</v>
      </c>
      <c r="AD13" s="1">
        <v>5</v>
      </c>
      <c r="AE13" s="1">
        <v>2</v>
      </c>
      <c r="AF13" s="1">
        <v>2</v>
      </c>
      <c r="AG13" s="1">
        <v>2</v>
      </c>
      <c r="AH13" s="1">
        <v>3</v>
      </c>
      <c r="AI13" s="1">
        <v>3</v>
      </c>
      <c r="AJ13" s="1">
        <v>4</v>
      </c>
      <c r="AK13" s="1">
        <v>5</v>
      </c>
      <c r="AL13" s="1">
        <v>4</v>
      </c>
      <c r="AM13" s="1">
        <v>4</v>
      </c>
      <c r="AN13" s="1">
        <v>2</v>
      </c>
      <c r="AO13" s="1">
        <v>3</v>
      </c>
      <c r="AP13" s="1">
        <v>4</v>
      </c>
      <c r="AQ13" s="1">
        <v>4</v>
      </c>
      <c r="AR13" s="1">
        <v>5</v>
      </c>
      <c r="AS13" s="1">
        <v>2</v>
      </c>
      <c r="AT13" s="1">
        <v>4</v>
      </c>
      <c r="AU13" s="1">
        <v>3</v>
      </c>
      <c r="AV13" s="1">
        <v>5</v>
      </c>
      <c r="AW13" s="1">
        <v>7</v>
      </c>
      <c r="AX13" s="1">
        <v>7</v>
      </c>
      <c r="AY13" s="1">
        <v>2</v>
      </c>
      <c r="AZ13" s="1">
        <v>1</v>
      </c>
      <c r="BA13" s="1">
        <v>2</v>
      </c>
      <c r="BB13" s="1">
        <v>6</v>
      </c>
      <c r="BC13" s="1">
        <v>6</v>
      </c>
      <c r="BD13" s="1">
        <v>6</v>
      </c>
      <c r="BE13" s="1">
        <v>2</v>
      </c>
      <c r="BF13" s="1">
        <v>3</v>
      </c>
      <c r="BG13" s="1">
        <v>7</v>
      </c>
      <c r="BH13" s="1">
        <v>1</v>
      </c>
      <c r="BI13" s="1">
        <v>7</v>
      </c>
      <c r="BJ13" s="1">
        <v>6</v>
      </c>
      <c r="BK13" s="1">
        <v>2</v>
      </c>
      <c r="BL13" s="1">
        <v>7</v>
      </c>
      <c r="BM13" s="1">
        <v>1</v>
      </c>
      <c r="BN13" s="1">
        <v>2</v>
      </c>
      <c r="BO13" s="1">
        <v>2</v>
      </c>
      <c r="BP13" s="1">
        <v>7</v>
      </c>
      <c r="BQ13" s="1">
        <v>1</v>
      </c>
      <c r="BR13" s="1">
        <v>6</v>
      </c>
      <c r="BS13" s="1">
        <v>1</v>
      </c>
      <c r="BT13" s="1">
        <v>1</v>
      </c>
      <c r="BU13" s="1">
        <v>1</v>
      </c>
      <c r="BV13" s="1">
        <v>5</v>
      </c>
      <c r="BW13" s="1">
        <v>1</v>
      </c>
      <c r="BX13" s="1">
        <v>6</v>
      </c>
      <c r="BY13" s="1">
        <v>7</v>
      </c>
      <c r="BZ13" s="1">
        <v>7</v>
      </c>
      <c r="CA13" s="1">
        <v>5</v>
      </c>
      <c r="CB13" s="1">
        <v>3</v>
      </c>
      <c r="CC13" s="1">
        <v>1</v>
      </c>
      <c r="CD13" s="1">
        <v>3</v>
      </c>
      <c r="CE13" s="1">
        <v>5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3"/>
      <c r="DM13" s="3"/>
      <c r="DN13" s="2"/>
      <c r="DO13" s="2"/>
      <c r="DP13" s="2"/>
      <c r="DQ13" s="1"/>
      <c r="DR13" s="1"/>
      <c r="DS13" s="1"/>
      <c r="DT13" s="1"/>
      <c r="DU13" s="4"/>
    </row>
    <row r="14" spans="1:125" ht="12.2">
      <c r="A14" s="5"/>
      <c r="B14" s="2"/>
      <c r="C14" s="2"/>
      <c r="D14" s="2"/>
      <c r="E14" s="2"/>
      <c r="F14" s="3"/>
      <c r="G14" s="1">
        <v>36</v>
      </c>
      <c r="H14" s="2" t="s">
        <v>127</v>
      </c>
      <c r="I14" s="2" t="s">
        <v>125</v>
      </c>
      <c r="J14" s="2" t="s">
        <v>126</v>
      </c>
      <c r="K14" s="1">
        <v>6</v>
      </c>
      <c r="L14" s="1">
        <v>5</v>
      </c>
      <c r="M14" s="1">
        <v>3</v>
      </c>
      <c r="N14" s="1">
        <v>6</v>
      </c>
      <c r="O14" s="1">
        <v>5</v>
      </c>
      <c r="P14" s="1">
        <v>3</v>
      </c>
      <c r="Q14" s="1">
        <v>5</v>
      </c>
      <c r="R14" s="1">
        <v>4</v>
      </c>
      <c r="S14" s="1">
        <v>4</v>
      </c>
      <c r="T14" s="1">
        <v>6</v>
      </c>
      <c r="U14" s="1">
        <v>5</v>
      </c>
      <c r="V14" s="1">
        <v>5</v>
      </c>
      <c r="W14" s="1">
        <v>6</v>
      </c>
      <c r="X14" s="1">
        <v>4</v>
      </c>
      <c r="Y14" s="1">
        <v>2</v>
      </c>
      <c r="Z14" s="1">
        <v>3</v>
      </c>
      <c r="AA14" s="1">
        <v>2</v>
      </c>
      <c r="AB14" s="1">
        <v>5</v>
      </c>
      <c r="AC14" s="1">
        <v>6</v>
      </c>
      <c r="AD14" s="1">
        <v>5</v>
      </c>
      <c r="AE14" s="1">
        <v>4</v>
      </c>
      <c r="AF14" s="1">
        <v>2</v>
      </c>
      <c r="AG14" s="1">
        <v>5</v>
      </c>
      <c r="AH14" s="1">
        <v>2</v>
      </c>
      <c r="AI14" s="1">
        <v>5</v>
      </c>
      <c r="AJ14" s="1">
        <v>5</v>
      </c>
      <c r="AK14" s="1">
        <v>6</v>
      </c>
      <c r="AL14" s="1">
        <v>5</v>
      </c>
      <c r="AM14" s="1">
        <v>2</v>
      </c>
      <c r="AN14" s="1">
        <v>2</v>
      </c>
      <c r="AO14" s="1">
        <v>3</v>
      </c>
      <c r="AP14" s="1">
        <v>5</v>
      </c>
      <c r="AQ14" s="1">
        <v>2</v>
      </c>
      <c r="AR14" s="1">
        <v>6</v>
      </c>
      <c r="AS14" s="1">
        <v>2</v>
      </c>
      <c r="AT14" s="1">
        <v>3</v>
      </c>
      <c r="AU14" s="1">
        <v>2</v>
      </c>
      <c r="AV14" s="1">
        <v>6</v>
      </c>
      <c r="AW14" s="1">
        <v>6</v>
      </c>
      <c r="AX14" s="1">
        <v>5</v>
      </c>
      <c r="AY14" s="1">
        <v>3</v>
      </c>
      <c r="AZ14" s="1">
        <v>2</v>
      </c>
      <c r="BA14" s="1">
        <v>1</v>
      </c>
      <c r="BB14" s="1">
        <v>6</v>
      </c>
      <c r="BC14" s="1">
        <v>6</v>
      </c>
      <c r="BD14" s="1">
        <v>5</v>
      </c>
      <c r="BE14" s="1">
        <v>2</v>
      </c>
      <c r="BF14" s="1">
        <v>3</v>
      </c>
      <c r="BG14" s="1">
        <v>6</v>
      </c>
      <c r="BH14" s="1">
        <v>2</v>
      </c>
      <c r="BI14" s="1">
        <v>5</v>
      </c>
      <c r="BJ14" s="1">
        <v>6</v>
      </c>
      <c r="BK14" s="1">
        <v>5</v>
      </c>
      <c r="BL14" s="1">
        <v>5</v>
      </c>
      <c r="BM14" s="1">
        <v>2</v>
      </c>
      <c r="BN14" s="1">
        <v>2</v>
      </c>
      <c r="BO14" s="1">
        <v>3</v>
      </c>
      <c r="BP14" s="1">
        <v>6</v>
      </c>
      <c r="BQ14" s="1">
        <v>2</v>
      </c>
      <c r="BR14" s="1">
        <v>6</v>
      </c>
      <c r="BS14" s="1">
        <v>2</v>
      </c>
      <c r="BT14" s="1">
        <v>2</v>
      </c>
      <c r="BU14" s="1">
        <v>2</v>
      </c>
      <c r="BV14" s="1">
        <v>5</v>
      </c>
      <c r="BW14" s="1">
        <v>4</v>
      </c>
      <c r="BX14" s="1">
        <v>6</v>
      </c>
      <c r="BY14" s="1">
        <v>5</v>
      </c>
      <c r="BZ14" s="1">
        <v>7</v>
      </c>
      <c r="CA14" s="1">
        <v>7</v>
      </c>
      <c r="CB14" s="1">
        <v>5</v>
      </c>
      <c r="CC14" s="1">
        <v>2</v>
      </c>
      <c r="CD14" s="1">
        <v>5</v>
      </c>
      <c r="CE14" s="1">
        <v>2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3"/>
      <c r="DM14" s="3"/>
      <c r="DN14" s="2"/>
      <c r="DO14" s="2"/>
      <c r="DP14" s="2"/>
      <c r="DQ14" s="1"/>
      <c r="DR14" s="1"/>
      <c r="DS14" s="1"/>
      <c r="DT14" s="1"/>
      <c r="DU14" s="4"/>
    </row>
    <row r="15" spans="1:125" ht="12.2">
      <c r="A15" s="5"/>
      <c r="B15" s="2"/>
      <c r="C15" s="2"/>
      <c r="D15" s="2"/>
      <c r="E15" s="2"/>
      <c r="F15" s="3"/>
      <c r="G15" s="1">
        <v>37</v>
      </c>
      <c r="H15" s="2" t="s">
        <v>122</v>
      </c>
      <c r="I15" s="2" t="s">
        <v>125</v>
      </c>
      <c r="J15" s="2" t="s">
        <v>134</v>
      </c>
      <c r="K15" s="1">
        <v>3</v>
      </c>
      <c r="L15" s="1">
        <v>2</v>
      </c>
      <c r="M15" s="1">
        <v>2</v>
      </c>
      <c r="N15" s="1">
        <v>5</v>
      </c>
      <c r="O15" s="1">
        <v>4</v>
      </c>
      <c r="P15" s="1">
        <v>4</v>
      </c>
      <c r="Q15" s="1">
        <v>5</v>
      </c>
      <c r="R15" s="1">
        <v>5</v>
      </c>
      <c r="S15" s="1">
        <v>3</v>
      </c>
      <c r="T15" s="1">
        <v>5</v>
      </c>
      <c r="U15" s="1">
        <v>5</v>
      </c>
      <c r="V15" s="1">
        <v>5</v>
      </c>
      <c r="W15" s="1">
        <v>5</v>
      </c>
      <c r="X15" s="1">
        <v>6</v>
      </c>
      <c r="Y15" s="1">
        <v>4</v>
      </c>
      <c r="Z15" s="1">
        <v>3</v>
      </c>
      <c r="AA15" s="1">
        <v>2</v>
      </c>
      <c r="AB15" s="1">
        <v>6</v>
      </c>
      <c r="AC15" s="1">
        <v>6</v>
      </c>
      <c r="AD15" s="1">
        <v>6</v>
      </c>
      <c r="AE15" s="1">
        <v>3</v>
      </c>
      <c r="AF15" s="1">
        <v>2</v>
      </c>
      <c r="AG15" s="1">
        <v>6</v>
      </c>
      <c r="AH15" s="1">
        <v>2</v>
      </c>
      <c r="AI15" s="1">
        <v>3</v>
      </c>
      <c r="AJ15" s="1">
        <v>5</v>
      </c>
      <c r="AK15" s="1">
        <v>5</v>
      </c>
      <c r="AL15" s="1">
        <v>5</v>
      </c>
      <c r="AM15" s="1">
        <v>2</v>
      </c>
      <c r="AN15" s="1">
        <v>2</v>
      </c>
      <c r="AO15" s="1">
        <v>2</v>
      </c>
      <c r="AP15" s="1">
        <v>6</v>
      </c>
      <c r="AQ15" s="1">
        <v>3</v>
      </c>
      <c r="AR15" s="1">
        <v>6</v>
      </c>
      <c r="AS15" s="1">
        <v>4</v>
      </c>
      <c r="AT15" s="1">
        <v>3</v>
      </c>
      <c r="AU15" s="1">
        <v>4</v>
      </c>
      <c r="AV15" s="1">
        <v>5</v>
      </c>
      <c r="AW15" s="1">
        <v>4</v>
      </c>
      <c r="AX15" s="1">
        <v>7</v>
      </c>
      <c r="AY15" s="1">
        <v>2</v>
      </c>
      <c r="AZ15" s="1">
        <v>3</v>
      </c>
      <c r="BA15" s="1">
        <v>2</v>
      </c>
      <c r="BB15" s="1">
        <v>5</v>
      </c>
      <c r="BC15" s="1">
        <v>5</v>
      </c>
      <c r="BD15" s="1">
        <v>5</v>
      </c>
      <c r="BE15" s="1">
        <v>5</v>
      </c>
      <c r="BF15" s="1">
        <v>1</v>
      </c>
      <c r="BG15" s="1">
        <v>5</v>
      </c>
      <c r="BH15" s="1">
        <v>2</v>
      </c>
      <c r="BI15" s="1">
        <v>5</v>
      </c>
      <c r="BJ15" s="1">
        <v>4</v>
      </c>
      <c r="BK15" s="1">
        <v>6</v>
      </c>
      <c r="BL15" s="1">
        <v>5</v>
      </c>
      <c r="BM15" s="1">
        <v>2</v>
      </c>
      <c r="BN15" s="1">
        <v>2</v>
      </c>
      <c r="BO15" s="1">
        <v>3</v>
      </c>
      <c r="BP15" s="1">
        <v>5</v>
      </c>
      <c r="BQ15" s="1">
        <v>2</v>
      </c>
      <c r="BR15" s="1">
        <v>6</v>
      </c>
      <c r="BS15" s="1">
        <v>2</v>
      </c>
      <c r="BT15" s="1">
        <v>3</v>
      </c>
      <c r="BU15" s="1">
        <v>3</v>
      </c>
      <c r="BV15" s="1">
        <v>6</v>
      </c>
      <c r="BW15" s="1">
        <v>1</v>
      </c>
      <c r="BX15" s="1">
        <v>7</v>
      </c>
      <c r="BY15" s="1">
        <v>6</v>
      </c>
      <c r="BZ15" s="1">
        <v>7</v>
      </c>
      <c r="CA15" s="1">
        <v>5</v>
      </c>
      <c r="CB15" s="1">
        <v>5</v>
      </c>
      <c r="CC15" s="1">
        <v>4</v>
      </c>
      <c r="CD15" s="1">
        <v>6</v>
      </c>
      <c r="CE15" s="1">
        <v>6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3"/>
      <c r="DM15" s="3"/>
      <c r="DN15" s="2"/>
      <c r="DO15" s="2"/>
      <c r="DP15" s="2"/>
      <c r="DQ15" s="1"/>
      <c r="DR15" s="1"/>
      <c r="DS15" s="1"/>
      <c r="DT15" s="1"/>
      <c r="DU15" s="4"/>
    </row>
    <row r="16" spans="1:125" ht="12.2">
      <c r="A16" s="5"/>
      <c r="B16" s="2"/>
      <c r="C16" s="2"/>
      <c r="D16" s="2"/>
      <c r="E16" s="2"/>
      <c r="F16" s="3"/>
      <c r="G16" s="1">
        <v>39</v>
      </c>
      <c r="H16" s="2" t="s">
        <v>127</v>
      </c>
      <c r="I16" s="2" t="s">
        <v>125</v>
      </c>
      <c r="J16" s="2" t="s">
        <v>126</v>
      </c>
      <c r="K16" s="1">
        <v>3</v>
      </c>
      <c r="L16" s="1">
        <v>3</v>
      </c>
      <c r="M16" s="1">
        <v>1</v>
      </c>
      <c r="N16" s="1">
        <v>3</v>
      </c>
      <c r="O16" s="1">
        <v>5</v>
      </c>
      <c r="P16" s="1">
        <v>3</v>
      </c>
      <c r="Q16" s="1">
        <v>2</v>
      </c>
      <c r="R16" s="1">
        <v>2</v>
      </c>
      <c r="S16" s="1">
        <v>1</v>
      </c>
      <c r="T16" s="1">
        <v>3</v>
      </c>
      <c r="U16" s="1">
        <v>5</v>
      </c>
      <c r="V16" s="1">
        <v>4</v>
      </c>
      <c r="W16" s="1">
        <v>5</v>
      </c>
      <c r="X16" s="1">
        <v>7</v>
      </c>
      <c r="Y16" s="1">
        <v>1</v>
      </c>
      <c r="Z16" s="1">
        <v>2</v>
      </c>
      <c r="AA16" s="1">
        <v>2</v>
      </c>
      <c r="AB16" s="1">
        <v>6</v>
      </c>
      <c r="AC16" s="1">
        <v>5</v>
      </c>
      <c r="AD16" s="1">
        <v>3</v>
      </c>
      <c r="AE16" s="1">
        <v>2</v>
      </c>
      <c r="AF16" s="1">
        <v>3</v>
      </c>
      <c r="AG16" s="1">
        <v>6</v>
      </c>
      <c r="AH16" s="1">
        <v>1</v>
      </c>
      <c r="AI16" s="1">
        <v>6</v>
      </c>
      <c r="AJ16" s="1">
        <v>6</v>
      </c>
      <c r="AK16" s="1">
        <v>4</v>
      </c>
      <c r="AL16" s="1">
        <v>7</v>
      </c>
      <c r="AM16" s="1">
        <v>2</v>
      </c>
      <c r="AN16" s="1">
        <v>1</v>
      </c>
      <c r="AO16" s="1">
        <v>3</v>
      </c>
      <c r="AP16" s="1">
        <v>7</v>
      </c>
      <c r="AQ16" s="1">
        <v>2</v>
      </c>
      <c r="AR16" s="1">
        <v>6</v>
      </c>
      <c r="AS16" s="1">
        <v>2</v>
      </c>
      <c r="AT16" s="1">
        <v>2</v>
      </c>
      <c r="AU16" s="1">
        <v>2</v>
      </c>
      <c r="AV16" s="1">
        <v>6</v>
      </c>
      <c r="AW16" s="1">
        <v>1</v>
      </c>
      <c r="AX16" s="1">
        <v>7</v>
      </c>
      <c r="AY16" s="1">
        <v>2</v>
      </c>
      <c r="AZ16" s="1">
        <v>2</v>
      </c>
      <c r="BA16" s="1">
        <v>2</v>
      </c>
      <c r="BB16" s="1">
        <v>6</v>
      </c>
      <c r="BC16" s="1">
        <v>6</v>
      </c>
      <c r="BD16" s="1">
        <v>3</v>
      </c>
      <c r="BE16" s="1">
        <v>2</v>
      </c>
      <c r="BF16" s="1">
        <v>3</v>
      </c>
      <c r="BG16" s="1">
        <v>6</v>
      </c>
      <c r="BH16" s="1">
        <v>1</v>
      </c>
      <c r="BI16" s="1">
        <v>6</v>
      </c>
      <c r="BJ16" s="1">
        <v>6</v>
      </c>
      <c r="BK16" s="1">
        <v>5</v>
      </c>
      <c r="BL16" s="1">
        <v>7</v>
      </c>
      <c r="BM16" s="1">
        <v>3</v>
      </c>
      <c r="BN16" s="1">
        <v>1</v>
      </c>
      <c r="BO16" s="1">
        <v>2</v>
      </c>
      <c r="BP16" s="1">
        <v>7</v>
      </c>
      <c r="BQ16" s="1">
        <v>1</v>
      </c>
      <c r="BR16" s="1">
        <v>7</v>
      </c>
      <c r="BS16" s="1">
        <v>2</v>
      </c>
      <c r="BT16" s="1">
        <v>2</v>
      </c>
      <c r="BU16" s="1">
        <v>2</v>
      </c>
      <c r="BV16" s="1">
        <v>6</v>
      </c>
      <c r="BW16" s="1">
        <v>2</v>
      </c>
      <c r="BX16" s="1">
        <v>7</v>
      </c>
      <c r="BY16" s="1">
        <v>7</v>
      </c>
      <c r="BZ16" s="1">
        <v>7</v>
      </c>
      <c r="CA16" s="1">
        <v>7</v>
      </c>
      <c r="CB16" s="1">
        <v>6</v>
      </c>
      <c r="CC16" s="1">
        <v>2</v>
      </c>
      <c r="CD16" s="1">
        <v>6</v>
      </c>
      <c r="CE16" s="1">
        <v>5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3"/>
      <c r="DM16" s="3"/>
      <c r="DN16" s="2"/>
      <c r="DO16" s="2"/>
      <c r="DP16" s="2"/>
      <c r="DQ16" s="1"/>
      <c r="DR16" s="1"/>
      <c r="DS16" s="1"/>
      <c r="DT16" s="1"/>
      <c r="DU16" s="4"/>
    </row>
    <row r="17" spans="1:125" ht="12.2">
      <c r="A17" s="5"/>
      <c r="B17" s="2"/>
      <c r="C17" s="2"/>
      <c r="D17" s="2"/>
      <c r="E17" s="2"/>
      <c r="F17" s="3"/>
      <c r="G17" s="1">
        <v>40</v>
      </c>
      <c r="H17" s="2" t="s">
        <v>127</v>
      </c>
      <c r="I17" s="2" t="s">
        <v>125</v>
      </c>
      <c r="J17" s="2" t="s">
        <v>135</v>
      </c>
      <c r="K17" s="1">
        <v>2</v>
      </c>
      <c r="L17" s="1">
        <v>2</v>
      </c>
      <c r="M17" s="1">
        <v>3</v>
      </c>
      <c r="N17" s="1">
        <v>3</v>
      </c>
      <c r="O17" s="1">
        <v>5</v>
      </c>
      <c r="P17" s="1">
        <v>2</v>
      </c>
      <c r="Q17" s="1">
        <v>3</v>
      </c>
      <c r="R17" s="1">
        <v>5</v>
      </c>
      <c r="S17" s="1">
        <v>2</v>
      </c>
      <c r="T17" s="1">
        <v>5</v>
      </c>
      <c r="U17" s="1">
        <v>5</v>
      </c>
      <c r="V17" s="1">
        <v>2</v>
      </c>
      <c r="W17" s="1">
        <v>6</v>
      </c>
      <c r="X17" s="1">
        <v>6</v>
      </c>
      <c r="Y17" s="1">
        <v>1</v>
      </c>
      <c r="Z17" s="1">
        <v>2</v>
      </c>
      <c r="AA17" s="1">
        <v>2</v>
      </c>
      <c r="AB17" s="1">
        <v>5</v>
      </c>
      <c r="AC17" s="1">
        <v>7</v>
      </c>
      <c r="AD17" s="1">
        <v>6</v>
      </c>
      <c r="AE17" s="1">
        <v>3</v>
      </c>
      <c r="AF17" s="1">
        <v>2</v>
      </c>
      <c r="AG17" s="1">
        <v>6</v>
      </c>
      <c r="AH17" s="1">
        <v>2</v>
      </c>
      <c r="AI17" s="1">
        <v>6</v>
      </c>
      <c r="AJ17" s="1">
        <v>6</v>
      </c>
      <c r="AK17" s="1">
        <v>6</v>
      </c>
      <c r="AL17" s="1">
        <v>6</v>
      </c>
      <c r="AM17" s="1">
        <v>2</v>
      </c>
      <c r="AN17" s="1">
        <v>1</v>
      </c>
      <c r="AO17" s="1">
        <v>2</v>
      </c>
      <c r="AP17" s="1">
        <v>6</v>
      </c>
      <c r="AQ17" s="1">
        <v>2</v>
      </c>
      <c r="AR17" s="1">
        <v>4</v>
      </c>
      <c r="AS17" s="1">
        <v>2</v>
      </c>
      <c r="AT17" s="1">
        <v>2</v>
      </c>
      <c r="AU17" s="1">
        <v>2</v>
      </c>
      <c r="AV17" s="1">
        <v>6</v>
      </c>
      <c r="AW17" s="1">
        <v>5</v>
      </c>
      <c r="AX17" s="1">
        <v>7</v>
      </c>
      <c r="AY17" s="1">
        <v>2</v>
      </c>
      <c r="AZ17" s="1">
        <v>2</v>
      </c>
      <c r="BA17" s="1">
        <v>3</v>
      </c>
      <c r="BB17" s="1">
        <v>6</v>
      </c>
      <c r="BC17" s="1">
        <v>6</v>
      </c>
      <c r="BD17" s="1">
        <v>5</v>
      </c>
      <c r="BE17" s="1">
        <v>2</v>
      </c>
      <c r="BF17" s="1">
        <v>3</v>
      </c>
      <c r="BG17" s="1">
        <v>6</v>
      </c>
      <c r="BH17" s="1">
        <v>2</v>
      </c>
      <c r="BI17" s="1">
        <v>6</v>
      </c>
      <c r="BJ17" s="1">
        <v>6</v>
      </c>
      <c r="BK17" s="1">
        <v>4</v>
      </c>
      <c r="BL17" s="1">
        <v>6</v>
      </c>
      <c r="BM17" s="1">
        <v>2</v>
      </c>
      <c r="BN17" s="1">
        <v>3</v>
      </c>
      <c r="BO17" s="1">
        <v>2</v>
      </c>
      <c r="BP17" s="1">
        <v>6</v>
      </c>
      <c r="BQ17" s="1">
        <v>2</v>
      </c>
      <c r="BR17" s="1">
        <v>4</v>
      </c>
      <c r="BS17" s="1">
        <v>3</v>
      </c>
      <c r="BT17" s="1">
        <v>3</v>
      </c>
      <c r="BU17" s="1">
        <v>2</v>
      </c>
      <c r="BV17" s="1">
        <v>5</v>
      </c>
      <c r="BW17" s="1">
        <v>5</v>
      </c>
      <c r="BX17" s="1">
        <v>7</v>
      </c>
      <c r="BY17" s="1">
        <v>7</v>
      </c>
      <c r="BZ17" s="1">
        <v>6</v>
      </c>
      <c r="CA17" s="1">
        <v>7</v>
      </c>
      <c r="CB17" s="1">
        <v>5</v>
      </c>
      <c r="CC17" s="1">
        <v>3</v>
      </c>
      <c r="CD17" s="1">
        <v>5</v>
      </c>
      <c r="CE17" s="1">
        <v>6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3"/>
      <c r="DM17" s="3"/>
      <c r="DN17" s="2"/>
      <c r="DO17" s="2"/>
      <c r="DP17" s="2"/>
      <c r="DQ17" s="1"/>
      <c r="DR17" s="1"/>
      <c r="DS17" s="1"/>
      <c r="DT17" s="1"/>
      <c r="DU17" s="4"/>
    </row>
    <row r="18" spans="1:125" ht="12.2">
      <c r="A18" s="5"/>
      <c r="B18" s="2"/>
      <c r="C18" s="2"/>
      <c r="D18" s="2"/>
      <c r="E18" s="2"/>
      <c r="F18" s="3"/>
      <c r="G18" s="1">
        <v>44</v>
      </c>
      <c r="H18" s="2" t="s">
        <v>122</v>
      </c>
      <c r="I18" s="2" t="s">
        <v>125</v>
      </c>
      <c r="J18" s="2" t="s">
        <v>136</v>
      </c>
      <c r="K18" s="1">
        <v>3</v>
      </c>
      <c r="L18" s="1">
        <v>2</v>
      </c>
      <c r="M18" s="1">
        <v>4</v>
      </c>
      <c r="N18" s="1">
        <v>6</v>
      </c>
      <c r="O18" s="1">
        <v>3</v>
      </c>
      <c r="P18" s="1">
        <v>2</v>
      </c>
      <c r="Q18" s="1">
        <v>6</v>
      </c>
      <c r="R18" s="1">
        <v>2</v>
      </c>
      <c r="S18" s="1">
        <v>4</v>
      </c>
      <c r="T18" s="1">
        <v>3</v>
      </c>
      <c r="U18" s="1">
        <v>3</v>
      </c>
      <c r="V18" s="1">
        <v>4</v>
      </c>
      <c r="W18" s="1">
        <v>6</v>
      </c>
      <c r="X18" s="1">
        <v>7</v>
      </c>
      <c r="Y18" s="1">
        <v>2</v>
      </c>
      <c r="Z18" s="1">
        <v>3</v>
      </c>
      <c r="AA18" s="1">
        <v>2</v>
      </c>
      <c r="AB18" s="1">
        <v>5</v>
      </c>
      <c r="AC18" s="1">
        <v>5</v>
      </c>
      <c r="AD18" s="1">
        <v>6</v>
      </c>
      <c r="AE18" s="1">
        <v>2</v>
      </c>
      <c r="AF18" s="1">
        <v>3</v>
      </c>
      <c r="AG18" s="1">
        <v>6</v>
      </c>
      <c r="AH18" s="1">
        <v>1</v>
      </c>
      <c r="AI18" s="1">
        <v>6</v>
      </c>
      <c r="AJ18" s="1">
        <v>5</v>
      </c>
      <c r="AK18" s="1">
        <v>6</v>
      </c>
      <c r="AL18" s="1">
        <v>5</v>
      </c>
      <c r="AM18" s="1">
        <v>4</v>
      </c>
      <c r="AN18" s="1">
        <v>2</v>
      </c>
      <c r="AO18" s="1">
        <v>1</v>
      </c>
      <c r="AP18" s="1">
        <v>6</v>
      </c>
      <c r="AQ18" s="1">
        <v>2</v>
      </c>
      <c r="AR18" s="1">
        <v>6</v>
      </c>
      <c r="AS18" s="1">
        <v>2</v>
      </c>
      <c r="AT18" s="1">
        <v>3</v>
      </c>
      <c r="AU18" s="1">
        <v>1</v>
      </c>
      <c r="AV18" s="1">
        <v>6</v>
      </c>
      <c r="AW18" s="1">
        <v>4</v>
      </c>
      <c r="AX18" s="1">
        <v>6</v>
      </c>
      <c r="AY18" s="1">
        <v>2</v>
      </c>
      <c r="AZ18" s="1">
        <v>4</v>
      </c>
      <c r="BA18" s="1">
        <v>3</v>
      </c>
      <c r="BB18" s="1">
        <v>6</v>
      </c>
      <c r="BC18" s="1">
        <v>5</v>
      </c>
      <c r="BD18" s="1">
        <v>6</v>
      </c>
      <c r="BE18" s="1">
        <v>2</v>
      </c>
      <c r="BF18" s="1">
        <v>3</v>
      </c>
      <c r="BG18" s="1">
        <v>5</v>
      </c>
      <c r="BH18" s="1">
        <v>4</v>
      </c>
      <c r="BI18" s="1">
        <v>2</v>
      </c>
      <c r="BJ18" s="1">
        <v>6</v>
      </c>
      <c r="BK18" s="1">
        <v>5</v>
      </c>
      <c r="BL18" s="1">
        <v>5</v>
      </c>
      <c r="BM18" s="1">
        <v>3</v>
      </c>
      <c r="BN18" s="1">
        <v>3</v>
      </c>
      <c r="BO18" s="1">
        <v>2</v>
      </c>
      <c r="BP18" s="1">
        <v>6</v>
      </c>
      <c r="BQ18" s="1">
        <v>5</v>
      </c>
      <c r="BR18" s="1">
        <v>5</v>
      </c>
      <c r="BS18" s="1">
        <v>3</v>
      </c>
      <c r="BT18" s="1">
        <v>3</v>
      </c>
      <c r="BU18" s="1">
        <v>2</v>
      </c>
      <c r="BV18" s="1">
        <v>5</v>
      </c>
      <c r="BW18" s="1">
        <v>6</v>
      </c>
      <c r="BX18" s="1">
        <v>6</v>
      </c>
      <c r="BY18" s="1">
        <v>7</v>
      </c>
      <c r="BZ18" s="1">
        <v>6</v>
      </c>
      <c r="CA18" s="1">
        <v>3</v>
      </c>
      <c r="CB18" s="1">
        <v>5</v>
      </c>
      <c r="CC18" s="1">
        <v>3</v>
      </c>
      <c r="CD18" s="1">
        <v>5</v>
      </c>
      <c r="CE18" s="1">
        <v>5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3"/>
      <c r="DM18" s="3"/>
      <c r="DN18" s="2"/>
      <c r="DO18" s="2"/>
      <c r="DP18" s="2"/>
      <c r="DQ18" s="1"/>
      <c r="DR18" s="1"/>
      <c r="DS18" s="1"/>
      <c r="DT18" s="1"/>
      <c r="DU18" s="4"/>
    </row>
    <row r="19" spans="1:125" ht="12.2">
      <c r="A19" s="5"/>
      <c r="B19" s="2"/>
      <c r="C19" s="2"/>
      <c r="D19" s="2"/>
      <c r="E19" s="2"/>
      <c r="F19" s="3"/>
      <c r="G19" s="1">
        <v>47</v>
      </c>
      <c r="H19" s="2" t="s">
        <v>122</v>
      </c>
      <c r="I19" s="2" t="s">
        <v>125</v>
      </c>
      <c r="J19" s="2" t="s">
        <v>126</v>
      </c>
      <c r="K19" s="1">
        <v>3</v>
      </c>
      <c r="L19" s="1">
        <v>2</v>
      </c>
      <c r="M19" s="1">
        <v>3</v>
      </c>
      <c r="N19" s="1">
        <v>5</v>
      </c>
      <c r="O19" s="1">
        <v>3</v>
      </c>
      <c r="P19" s="1">
        <v>4</v>
      </c>
      <c r="Q19" s="1">
        <v>2</v>
      </c>
      <c r="R19" s="1">
        <v>2</v>
      </c>
      <c r="S19" s="1">
        <v>2</v>
      </c>
      <c r="T19" s="1">
        <v>7</v>
      </c>
      <c r="U19" s="1">
        <v>2</v>
      </c>
      <c r="V19" s="1">
        <v>4</v>
      </c>
      <c r="W19" s="1">
        <v>4</v>
      </c>
      <c r="X19" s="1">
        <v>5</v>
      </c>
      <c r="Y19" s="1">
        <v>3</v>
      </c>
      <c r="Z19" s="1">
        <v>3</v>
      </c>
      <c r="AA19" s="1">
        <v>4</v>
      </c>
      <c r="AB19" s="1">
        <v>4</v>
      </c>
      <c r="AC19" s="1">
        <v>5</v>
      </c>
      <c r="AD19" s="1">
        <v>3</v>
      </c>
      <c r="AE19" s="1">
        <v>3</v>
      </c>
      <c r="AF19" s="1">
        <v>3</v>
      </c>
      <c r="AG19" s="1">
        <v>5</v>
      </c>
      <c r="AH19" s="1">
        <v>3</v>
      </c>
      <c r="AI19" s="1">
        <v>5</v>
      </c>
      <c r="AJ19" s="1">
        <v>5</v>
      </c>
      <c r="AK19" s="1">
        <v>4</v>
      </c>
      <c r="AL19" s="1">
        <v>5</v>
      </c>
      <c r="AM19" s="1">
        <v>4</v>
      </c>
      <c r="AN19" s="1">
        <v>3</v>
      </c>
      <c r="AO19" s="1">
        <v>3</v>
      </c>
      <c r="AP19" s="1">
        <v>3</v>
      </c>
      <c r="AQ19" s="1">
        <v>3</v>
      </c>
      <c r="AR19" s="1">
        <v>4</v>
      </c>
      <c r="AS19" s="1">
        <v>3</v>
      </c>
      <c r="AT19" s="1">
        <v>3</v>
      </c>
      <c r="AU19" s="1">
        <v>4</v>
      </c>
      <c r="AV19" s="1">
        <v>3</v>
      </c>
      <c r="AW19" s="1">
        <v>6</v>
      </c>
      <c r="AX19" s="1">
        <v>7</v>
      </c>
      <c r="AY19" s="1">
        <v>6</v>
      </c>
      <c r="AZ19" s="1">
        <v>2</v>
      </c>
      <c r="BA19" s="1">
        <v>3</v>
      </c>
      <c r="BB19" s="1">
        <v>5</v>
      </c>
      <c r="BC19" s="1">
        <v>6</v>
      </c>
      <c r="BD19" s="1">
        <v>4</v>
      </c>
      <c r="BE19" s="1">
        <v>2</v>
      </c>
      <c r="BF19" s="1">
        <v>3</v>
      </c>
      <c r="BG19" s="1">
        <v>5</v>
      </c>
      <c r="BH19" s="1">
        <v>2</v>
      </c>
      <c r="BI19" s="1">
        <v>7</v>
      </c>
      <c r="BJ19" s="1">
        <v>5</v>
      </c>
      <c r="BK19" s="1">
        <v>5</v>
      </c>
      <c r="BL19" s="1">
        <v>6</v>
      </c>
      <c r="BM19" s="1">
        <v>3</v>
      </c>
      <c r="BN19" s="1">
        <v>3</v>
      </c>
      <c r="BO19" s="1">
        <v>3</v>
      </c>
      <c r="BP19" s="1">
        <v>6</v>
      </c>
      <c r="BQ19" s="1">
        <v>3</v>
      </c>
      <c r="BR19" s="1">
        <v>5</v>
      </c>
      <c r="BS19" s="1">
        <v>3</v>
      </c>
      <c r="BT19" s="1">
        <v>3</v>
      </c>
      <c r="BU19" s="1">
        <v>2</v>
      </c>
      <c r="BV19" s="1">
        <v>5</v>
      </c>
      <c r="BW19" s="1">
        <v>4</v>
      </c>
      <c r="BX19" s="1">
        <v>3</v>
      </c>
      <c r="BY19" s="1">
        <v>7</v>
      </c>
      <c r="BZ19" s="1">
        <v>6</v>
      </c>
      <c r="CA19" s="1">
        <v>7</v>
      </c>
      <c r="CB19" s="1">
        <v>2</v>
      </c>
      <c r="CC19" s="1">
        <v>5</v>
      </c>
      <c r="CD19" s="1">
        <v>5</v>
      </c>
      <c r="CE19" s="1">
        <v>6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3"/>
      <c r="DM19" s="3"/>
      <c r="DN19" s="2"/>
      <c r="DO19" s="2"/>
      <c r="DP19" s="2"/>
      <c r="DQ19" s="1"/>
      <c r="DR19" s="1"/>
      <c r="DS19" s="1"/>
      <c r="DT19" s="1"/>
      <c r="DU19" s="4"/>
    </row>
    <row r="20" spans="1:125" ht="12.2">
      <c r="A20" s="5"/>
      <c r="B20" s="2"/>
      <c r="C20" s="2"/>
      <c r="D20" s="2"/>
      <c r="E20" s="2"/>
      <c r="F20" s="3"/>
      <c r="G20" s="1">
        <v>49</v>
      </c>
      <c r="H20" s="2" t="s">
        <v>122</v>
      </c>
      <c r="I20" s="2" t="s">
        <v>137</v>
      </c>
      <c r="J20" s="2" t="s">
        <v>138</v>
      </c>
      <c r="K20" s="1">
        <v>5</v>
      </c>
      <c r="L20" s="1">
        <v>1</v>
      </c>
      <c r="M20" s="1">
        <v>2</v>
      </c>
      <c r="N20" s="1">
        <v>6</v>
      </c>
      <c r="O20" s="1">
        <v>2</v>
      </c>
      <c r="P20" s="1">
        <v>1</v>
      </c>
      <c r="Q20" s="1">
        <v>6</v>
      </c>
      <c r="R20" s="1">
        <v>3</v>
      </c>
      <c r="S20" s="1">
        <v>3</v>
      </c>
      <c r="T20" s="1">
        <v>5</v>
      </c>
      <c r="U20" s="1">
        <v>4</v>
      </c>
      <c r="V20" s="1">
        <v>3</v>
      </c>
      <c r="W20" s="1">
        <v>5</v>
      </c>
      <c r="X20" s="1">
        <v>6</v>
      </c>
      <c r="Y20" s="1">
        <v>3</v>
      </c>
      <c r="Z20" s="1">
        <v>2</v>
      </c>
      <c r="AA20" s="1">
        <v>3</v>
      </c>
      <c r="AB20" s="1">
        <v>3</v>
      </c>
      <c r="AC20" s="1">
        <v>4</v>
      </c>
      <c r="AD20" s="1">
        <v>6</v>
      </c>
      <c r="AE20" s="1">
        <v>6</v>
      </c>
      <c r="AF20" s="1">
        <v>2</v>
      </c>
      <c r="AG20" s="1">
        <v>5</v>
      </c>
      <c r="AH20" s="1">
        <v>2</v>
      </c>
      <c r="AI20" s="1">
        <v>6</v>
      </c>
      <c r="AJ20" s="1">
        <v>6</v>
      </c>
      <c r="AK20" s="1">
        <v>5</v>
      </c>
      <c r="AL20" s="1">
        <v>6</v>
      </c>
      <c r="AM20" s="1">
        <v>2</v>
      </c>
      <c r="AN20" s="1">
        <v>3</v>
      </c>
      <c r="AO20" s="1">
        <v>1</v>
      </c>
      <c r="AP20" s="1">
        <v>3</v>
      </c>
      <c r="AQ20" s="1">
        <v>2</v>
      </c>
      <c r="AR20" s="1">
        <v>3</v>
      </c>
      <c r="AS20" s="1">
        <v>1</v>
      </c>
      <c r="AT20" s="1">
        <v>2</v>
      </c>
      <c r="AU20" s="1">
        <v>2</v>
      </c>
      <c r="AV20" s="1">
        <v>3</v>
      </c>
      <c r="AW20" s="1">
        <v>6</v>
      </c>
      <c r="AX20" s="1">
        <v>7</v>
      </c>
      <c r="AY20" s="1">
        <v>2</v>
      </c>
      <c r="AZ20" s="1">
        <v>1</v>
      </c>
      <c r="BA20" s="1">
        <v>3</v>
      </c>
      <c r="BB20" s="1">
        <v>5</v>
      </c>
      <c r="BC20" s="1">
        <v>6</v>
      </c>
      <c r="BD20" s="1">
        <v>6</v>
      </c>
      <c r="BE20" s="1">
        <v>2</v>
      </c>
      <c r="BF20" s="1">
        <v>2</v>
      </c>
      <c r="BG20" s="1">
        <v>6</v>
      </c>
      <c r="BH20" s="1">
        <v>3</v>
      </c>
      <c r="BI20" s="1">
        <v>5</v>
      </c>
      <c r="BJ20" s="1">
        <v>5</v>
      </c>
      <c r="BK20" s="1">
        <v>5</v>
      </c>
      <c r="BL20" s="1">
        <v>5</v>
      </c>
      <c r="BM20" s="1">
        <v>2</v>
      </c>
      <c r="BN20" s="1">
        <v>2</v>
      </c>
      <c r="BO20" s="1">
        <v>2</v>
      </c>
      <c r="BP20" s="1">
        <v>4</v>
      </c>
      <c r="BQ20" s="1">
        <v>6</v>
      </c>
      <c r="BR20" s="1">
        <v>5</v>
      </c>
      <c r="BS20" s="1">
        <v>2</v>
      </c>
      <c r="BT20" s="1">
        <v>3</v>
      </c>
      <c r="BU20" s="1">
        <v>3</v>
      </c>
      <c r="BV20" s="1">
        <v>6</v>
      </c>
      <c r="BW20" s="1">
        <v>6</v>
      </c>
      <c r="BX20" s="1">
        <v>7</v>
      </c>
      <c r="BY20" s="1">
        <v>6</v>
      </c>
      <c r="BZ20" s="1">
        <v>7</v>
      </c>
      <c r="CA20" s="1">
        <v>1</v>
      </c>
      <c r="CB20" s="1">
        <v>1</v>
      </c>
      <c r="CC20" s="1">
        <v>2</v>
      </c>
      <c r="CD20" s="1">
        <v>5</v>
      </c>
      <c r="CE20" s="1">
        <v>6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3"/>
      <c r="DM20" s="3"/>
      <c r="DN20" s="2"/>
      <c r="DO20" s="2"/>
      <c r="DP20" s="2"/>
      <c r="DQ20" s="1"/>
      <c r="DR20" s="1"/>
      <c r="DS20" s="1"/>
      <c r="DT20" s="1"/>
      <c r="DU20" s="4"/>
    </row>
    <row r="21" spans="1:125" ht="12.2">
      <c r="A21" s="5"/>
      <c r="B21" s="2"/>
      <c r="C21" s="2"/>
      <c r="D21" s="2"/>
      <c r="E21" s="2"/>
      <c r="F21" s="3"/>
      <c r="G21" s="1">
        <v>51</v>
      </c>
      <c r="H21" s="2" t="s">
        <v>122</v>
      </c>
      <c r="I21" s="2" t="s">
        <v>137</v>
      </c>
      <c r="J21" s="2" t="s">
        <v>139</v>
      </c>
      <c r="K21" s="1">
        <v>2</v>
      </c>
      <c r="L21" s="1">
        <v>2</v>
      </c>
      <c r="M21" s="1">
        <v>3</v>
      </c>
      <c r="N21" s="1">
        <v>6</v>
      </c>
      <c r="O21" s="1">
        <v>3</v>
      </c>
      <c r="P21" s="1">
        <v>2</v>
      </c>
      <c r="Q21" s="1">
        <v>2</v>
      </c>
      <c r="R21" s="1">
        <v>1</v>
      </c>
      <c r="S21" s="1">
        <v>2</v>
      </c>
      <c r="T21" s="1">
        <v>6</v>
      </c>
      <c r="U21" s="1">
        <v>3</v>
      </c>
      <c r="V21" s="1">
        <v>3</v>
      </c>
      <c r="W21" s="1">
        <v>6</v>
      </c>
      <c r="X21" s="1">
        <v>7</v>
      </c>
      <c r="Y21" s="1">
        <v>3</v>
      </c>
      <c r="Z21" s="1">
        <v>1</v>
      </c>
      <c r="AA21" s="1">
        <v>3</v>
      </c>
      <c r="AB21" s="1">
        <v>6</v>
      </c>
      <c r="AC21" s="1">
        <v>6</v>
      </c>
      <c r="AD21" s="1">
        <v>7</v>
      </c>
      <c r="AE21" s="1">
        <v>2</v>
      </c>
      <c r="AF21" s="1">
        <v>2</v>
      </c>
      <c r="AG21" s="1">
        <v>6</v>
      </c>
      <c r="AH21" s="1">
        <v>2</v>
      </c>
      <c r="AI21" s="1">
        <v>7</v>
      </c>
      <c r="AJ21" s="1">
        <v>6</v>
      </c>
      <c r="AK21" s="1">
        <v>6</v>
      </c>
      <c r="AL21" s="1">
        <v>6</v>
      </c>
      <c r="AM21" s="1">
        <v>1</v>
      </c>
      <c r="AN21" s="1">
        <v>2</v>
      </c>
      <c r="AO21" s="1">
        <v>2</v>
      </c>
      <c r="AP21" s="1">
        <v>5</v>
      </c>
      <c r="AQ21" s="1">
        <v>2</v>
      </c>
      <c r="AR21" s="1">
        <v>6</v>
      </c>
      <c r="AS21" s="1">
        <v>2</v>
      </c>
      <c r="AT21" s="1">
        <v>2</v>
      </c>
      <c r="AU21" s="1">
        <v>2</v>
      </c>
      <c r="AV21" s="1">
        <v>6</v>
      </c>
      <c r="AW21" s="1">
        <v>5</v>
      </c>
      <c r="AX21" s="1">
        <v>7</v>
      </c>
      <c r="AY21" s="1">
        <v>4</v>
      </c>
      <c r="AZ21" s="1">
        <v>1</v>
      </c>
      <c r="BA21" s="1">
        <v>3</v>
      </c>
      <c r="BB21" s="1">
        <v>6</v>
      </c>
      <c r="BC21" s="1">
        <v>6</v>
      </c>
      <c r="BD21" s="1">
        <v>7</v>
      </c>
      <c r="BE21" s="1">
        <v>2</v>
      </c>
      <c r="BF21" s="1">
        <v>4</v>
      </c>
      <c r="BG21" s="1">
        <v>5</v>
      </c>
      <c r="BH21" s="1">
        <v>3</v>
      </c>
      <c r="BI21" s="1">
        <v>7</v>
      </c>
      <c r="BJ21" s="1">
        <v>5</v>
      </c>
      <c r="BK21" s="1">
        <v>4</v>
      </c>
      <c r="BL21" s="1">
        <v>5</v>
      </c>
      <c r="BM21" s="1">
        <v>2</v>
      </c>
      <c r="BN21" s="1">
        <v>3</v>
      </c>
      <c r="BO21" s="1">
        <v>1</v>
      </c>
      <c r="BP21" s="1">
        <v>3</v>
      </c>
      <c r="BQ21" s="1">
        <v>1</v>
      </c>
      <c r="BR21" s="1">
        <v>5</v>
      </c>
      <c r="BS21" s="1">
        <v>1</v>
      </c>
      <c r="BT21" s="1">
        <v>3</v>
      </c>
      <c r="BU21" s="1">
        <v>3</v>
      </c>
      <c r="BV21" s="1">
        <v>3</v>
      </c>
      <c r="BW21" s="1">
        <v>5</v>
      </c>
      <c r="BX21" s="1">
        <v>7</v>
      </c>
      <c r="BY21" s="1">
        <v>7</v>
      </c>
      <c r="BZ21" s="1">
        <v>7</v>
      </c>
      <c r="CA21" s="1">
        <v>7</v>
      </c>
      <c r="CB21" s="1">
        <v>4</v>
      </c>
      <c r="CC21" s="1">
        <v>4</v>
      </c>
      <c r="CD21" s="1">
        <v>5</v>
      </c>
      <c r="CE21" s="1">
        <v>5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3"/>
      <c r="DM21" s="3"/>
      <c r="DN21" s="2"/>
      <c r="DO21" s="2"/>
      <c r="DP21" s="2"/>
      <c r="DQ21" s="1"/>
      <c r="DR21" s="1"/>
      <c r="DS21" s="1"/>
      <c r="DT21" s="1"/>
      <c r="DU21" s="4"/>
    </row>
  </sheetData>
  <pageMargins left="0.5" right="0.5" top="1" bottom="1" header="0.5" footer="0.5"/>
  <pageSetup orientation="portrait" usePrinterDefaults="0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3BA38-7D59-42F7-8D0D-97B67EFC2BBA}">
  <dimension ref="A1:DV58"/>
  <sheetViews>
    <sheetView topLeftCell="C24" workbookViewId="0">
      <selection activeCell="I42" sqref="I42"/>
    </sheetView>
  </sheetViews>
  <sheetFormatPr defaultRowHeight="12.75"/>
  <cols>
    <col min="6" max="6" width="20.140625" customWidth="1"/>
    <col min="7" max="7" width="11.42578125" customWidth="1"/>
    <col min="8" max="8" width="9.5703125" bestFit="1" customWidth="1"/>
    <col min="10" max="10" width="12.5703125" customWidth="1"/>
    <col min="90" max="90" width="27.42578125" customWidth="1"/>
    <col min="113" max="113" width="14.42578125" customWidth="1"/>
  </cols>
  <sheetData>
    <row r="1" spans="1:126">
      <c r="A1" s="5"/>
      <c r="B1" s="34"/>
      <c r="C1" s="34"/>
      <c r="D1" s="34"/>
      <c r="E1" s="34"/>
      <c r="F1" s="5"/>
      <c r="G1" s="5"/>
      <c r="H1" s="5"/>
      <c r="I1" s="5"/>
      <c r="J1" s="5"/>
      <c r="K1" s="34"/>
      <c r="L1" s="34"/>
      <c r="M1" s="34"/>
      <c r="N1" s="34"/>
      <c r="O1" s="34"/>
      <c r="P1" s="34"/>
      <c r="Q1" s="34"/>
      <c r="R1" s="34"/>
      <c r="S1" s="34"/>
      <c r="T1" s="34"/>
      <c r="U1" s="72" t="s">
        <v>0</v>
      </c>
      <c r="V1" s="6" t="s">
        <v>140</v>
      </c>
      <c r="W1" s="6" t="s">
        <v>1</v>
      </c>
      <c r="X1" s="6" t="s">
        <v>2</v>
      </c>
      <c r="Y1" s="20" t="s">
        <v>3</v>
      </c>
      <c r="Z1" s="80" t="s">
        <v>4</v>
      </c>
      <c r="AA1" s="30" t="s">
        <v>5</v>
      </c>
      <c r="AB1" s="30" t="s">
        <v>6</v>
      </c>
      <c r="AC1" s="30" t="s">
        <v>7</v>
      </c>
      <c r="AD1" s="30" t="s">
        <v>8</v>
      </c>
      <c r="AE1" s="30" t="s">
        <v>9</v>
      </c>
      <c r="AF1" s="32" t="s">
        <v>10</v>
      </c>
      <c r="AG1" s="32" t="s">
        <v>11</v>
      </c>
      <c r="AH1" s="32" t="s">
        <v>12</v>
      </c>
      <c r="AI1" s="32" t="s">
        <v>13</v>
      </c>
      <c r="AJ1" s="32" t="s">
        <v>14</v>
      </c>
      <c r="AK1" s="32" t="s">
        <v>15</v>
      </c>
      <c r="AL1" s="26" t="s">
        <v>16</v>
      </c>
      <c r="AM1" s="26" t="s">
        <v>17</v>
      </c>
      <c r="AN1" s="26" t="s">
        <v>18</v>
      </c>
      <c r="AO1" s="26" t="s">
        <v>19</v>
      </c>
      <c r="AP1" s="26" t="s">
        <v>20</v>
      </c>
      <c r="AQ1" s="26" t="s">
        <v>21</v>
      </c>
      <c r="AR1" s="26" t="s">
        <v>22</v>
      </c>
      <c r="AS1" s="26" t="s">
        <v>23</v>
      </c>
      <c r="AT1" s="26" t="s">
        <v>24</v>
      </c>
      <c r="AU1" s="26" t="s">
        <v>25</v>
      </c>
      <c r="AV1" s="26" t="s">
        <v>26</v>
      </c>
      <c r="AW1" s="26" t="s">
        <v>27</v>
      </c>
      <c r="AX1" s="26" t="s">
        <v>28</v>
      </c>
      <c r="AY1" s="26" t="s">
        <v>29</v>
      </c>
      <c r="AZ1" s="26" t="s">
        <v>30</v>
      </c>
      <c r="BA1" s="26" t="s">
        <v>31</v>
      </c>
      <c r="BB1" s="26" t="s">
        <v>32</v>
      </c>
      <c r="BC1" s="26" t="s">
        <v>33</v>
      </c>
      <c r="BD1" s="26" t="s">
        <v>34</v>
      </c>
      <c r="BE1" s="26" t="s">
        <v>35</v>
      </c>
      <c r="BF1" s="26" t="s">
        <v>36</v>
      </c>
      <c r="BG1" s="26" t="s">
        <v>37</v>
      </c>
      <c r="BH1" s="26" t="s">
        <v>38</v>
      </c>
      <c r="BI1" s="26" t="s">
        <v>39</v>
      </c>
      <c r="BJ1" s="26" t="s">
        <v>40</v>
      </c>
      <c r="BK1" s="26" t="s">
        <v>41</v>
      </c>
      <c r="BL1" s="28" t="s">
        <v>42</v>
      </c>
      <c r="BM1" s="28" t="s">
        <v>43</v>
      </c>
      <c r="BN1" s="28" t="s">
        <v>44</v>
      </c>
      <c r="BO1" s="28" t="s">
        <v>45</v>
      </c>
      <c r="BP1" s="28" t="s">
        <v>46</v>
      </c>
      <c r="BQ1" s="28" t="s">
        <v>47</v>
      </c>
      <c r="BR1" s="28" t="s">
        <v>48</v>
      </c>
      <c r="BS1" s="28" t="s">
        <v>49</v>
      </c>
      <c r="BT1" s="28" t="s">
        <v>50</v>
      </c>
      <c r="BU1" s="28" t="s">
        <v>51</v>
      </c>
      <c r="BV1" s="28" t="s">
        <v>52</v>
      </c>
      <c r="BW1" s="28" t="s">
        <v>53</v>
      </c>
      <c r="BX1" s="28" t="s">
        <v>54</v>
      </c>
      <c r="BY1" s="28" t="s">
        <v>55</v>
      </c>
      <c r="BZ1" s="28" t="s">
        <v>56</v>
      </c>
      <c r="CA1" s="28" t="s">
        <v>57</v>
      </c>
      <c r="CB1" s="28" t="s">
        <v>58</v>
      </c>
      <c r="CC1" s="28" t="s">
        <v>59</v>
      </c>
      <c r="CD1" s="28" t="s">
        <v>60</v>
      </c>
      <c r="CE1" s="28" t="s">
        <v>61</v>
      </c>
      <c r="CF1" s="28" t="s">
        <v>62</v>
      </c>
      <c r="CG1" s="28" t="s">
        <v>63</v>
      </c>
      <c r="CH1" s="28" t="s">
        <v>64</v>
      </c>
      <c r="CI1" s="28" t="s">
        <v>65</v>
      </c>
      <c r="CJ1" s="28" t="s">
        <v>66</v>
      </c>
      <c r="CK1" s="28" t="s">
        <v>67</v>
      </c>
      <c r="CL1" s="6" t="s">
        <v>68</v>
      </c>
      <c r="CM1" s="6" t="s">
        <v>69</v>
      </c>
      <c r="CN1" s="6" t="s">
        <v>70</v>
      </c>
      <c r="CO1" s="6" t="s">
        <v>71</v>
      </c>
      <c r="CP1" s="6" t="s">
        <v>72</v>
      </c>
      <c r="CQ1" s="6" t="s">
        <v>73</v>
      </c>
      <c r="CR1" s="6" t="s">
        <v>74</v>
      </c>
      <c r="CS1" s="6" t="s">
        <v>75</v>
      </c>
      <c r="CT1" s="20" t="s">
        <v>76</v>
      </c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5"/>
    </row>
    <row r="2" spans="1:126">
      <c r="A2" s="5"/>
      <c r="B2" s="74"/>
      <c r="C2" s="74"/>
      <c r="D2" s="74"/>
      <c r="E2" s="74"/>
      <c r="F2" s="5" t="s">
        <v>141</v>
      </c>
      <c r="G2" s="5"/>
      <c r="H2" s="5"/>
      <c r="I2" s="5"/>
      <c r="J2" s="5"/>
      <c r="K2" s="74"/>
      <c r="L2" s="74"/>
      <c r="M2" s="74"/>
      <c r="N2" s="74"/>
      <c r="O2" s="74"/>
      <c r="P2" s="74"/>
      <c r="Q2" s="74"/>
      <c r="R2" s="74"/>
      <c r="S2" s="74"/>
      <c r="T2" s="74"/>
      <c r="U2" s="75" t="s">
        <v>77</v>
      </c>
      <c r="V2" s="8" t="s">
        <v>142</v>
      </c>
      <c r="W2" s="8" t="s">
        <v>78</v>
      </c>
      <c r="X2" s="8" t="s">
        <v>79</v>
      </c>
      <c r="Y2" s="79" t="s">
        <v>80</v>
      </c>
      <c r="Z2" s="81" t="s">
        <v>81</v>
      </c>
      <c r="AA2" s="31" t="s">
        <v>82</v>
      </c>
      <c r="AB2" s="31" t="s">
        <v>83</v>
      </c>
      <c r="AC2" s="31" t="s">
        <v>84</v>
      </c>
      <c r="AD2" s="31" t="s">
        <v>85</v>
      </c>
      <c r="AE2" s="31" t="s">
        <v>86</v>
      </c>
      <c r="AF2" s="33" t="s">
        <v>81</v>
      </c>
      <c r="AG2" s="33" t="s">
        <v>82</v>
      </c>
      <c r="AH2" s="33" t="s">
        <v>83</v>
      </c>
      <c r="AI2" s="33" t="s">
        <v>84</v>
      </c>
      <c r="AJ2" s="33" t="s">
        <v>85</v>
      </c>
      <c r="AK2" s="33" t="s">
        <v>86</v>
      </c>
      <c r="AL2" s="27" t="s">
        <v>87</v>
      </c>
      <c r="AM2" s="27" t="s">
        <v>88</v>
      </c>
      <c r="AN2" s="27" t="s">
        <v>89</v>
      </c>
      <c r="AO2" s="27" t="s">
        <v>90</v>
      </c>
      <c r="AP2" s="27" t="s">
        <v>91</v>
      </c>
      <c r="AQ2" s="27" t="s">
        <v>92</v>
      </c>
      <c r="AR2" s="27" t="s">
        <v>93</v>
      </c>
      <c r="AS2" s="27" t="s">
        <v>94</v>
      </c>
      <c r="AT2" s="27" t="s">
        <v>95</v>
      </c>
      <c r="AU2" s="27" t="s">
        <v>96</v>
      </c>
      <c r="AV2" s="27" t="s">
        <v>97</v>
      </c>
      <c r="AW2" s="27" t="s">
        <v>98</v>
      </c>
      <c r="AX2" s="27" t="s">
        <v>99</v>
      </c>
      <c r="AY2" s="27" t="s">
        <v>100</v>
      </c>
      <c r="AZ2" s="27" t="s">
        <v>101</v>
      </c>
      <c r="BA2" s="27" t="s">
        <v>102</v>
      </c>
      <c r="BB2" s="27" t="s">
        <v>103</v>
      </c>
      <c r="BC2" s="27" t="s">
        <v>104</v>
      </c>
      <c r="BD2" s="27" t="s">
        <v>105</v>
      </c>
      <c r="BE2" s="27" t="s">
        <v>106</v>
      </c>
      <c r="BF2" s="27" t="s">
        <v>107</v>
      </c>
      <c r="BG2" s="27" t="s">
        <v>108</v>
      </c>
      <c r="BH2" s="27" t="s">
        <v>109</v>
      </c>
      <c r="BI2" s="27" t="s">
        <v>110</v>
      </c>
      <c r="BJ2" s="27" t="s">
        <v>111</v>
      </c>
      <c r="BK2" s="27" t="s">
        <v>112</v>
      </c>
      <c r="BL2" s="29" t="s">
        <v>87</v>
      </c>
      <c r="BM2" s="29" t="s">
        <v>88</v>
      </c>
      <c r="BN2" s="29" t="s">
        <v>89</v>
      </c>
      <c r="BO2" s="29" t="s">
        <v>90</v>
      </c>
      <c r="BP2" s="29" t="s">
        <v>91</v>
      </c>
      <c r="BQ2" s="29" t="s">
        <v>92</v>
      </c>
      <c r="BR2" s="29" t="s">
        <v>93</v>
      </c>
      <c r="BS2" s="29" t="s">
        <v>94</v>
      </c>
      <c r="BT2" s="29" t="s">
        <v>95</v>
      </c>
      <c r="BU2" s="29" t="s">
        <v>96</v>
      </c>
      <c r="BV2" s="29" t="s">
        <v>97</v>
      </c>
      <c r="BW2" s="29" t="s">
        <v>98</v>
      </c>
      <c r="BX2" s="29" t="s">
        <v>99</v>
      </c>
      <c r="BY2" s="29" t="s">
        <v>100</v>
      </c>
      <c r="BZ2" s="29" t="s">
        <v>101</v>
      </c>
      <c r="CA2" s="29" t="s">
        <v>102</v>
      </c>
      <c r="CB2" s="29" t="s">
        <v>103</v>
      </c>
      <c r="CC2" s="29" t="s">
        <v>104</v>
      </c>
      <c r="CD2" s="29" t="s">
        <v>105</v>
      </c>
      <c r="CE2" s="29" t="s">
        <v>106</v>
      </c>
      <c r="CF2" s="29" t="s">
        <v>107</v>
      </c>
      <c r="CG2" s="29" t="s">
        <v>108</v>
      </c>
      <c r="CH2" s="29" t="s">
        <v>109</v>
      </c>
      <c r="CI2" s="29" t="s">
        <v>110</v>
      </c>
      <c r="CJ2" s="29" t="s">
        <v>111</v>
      </c>
      <c r="CK2" s="29" t="s">
        <v>112</v>
      </c>
      <c r="CL2" s="7" t="s">
        <v>113</v>
      </c>
      <c r="CM2" s="7" t="s">
        <v>114</v>
      </c>
      <c r="CN2" s="7" t="s">
        <v>115</v>
      </c>
      <c r="CO2" s="7" t="s">
        <v>116</v>
      </c>
      <c r="CP2" s="7" t="s">
        <v>117</v>
      </c>
      <c r="CQ2" s="7" t="s">
        <v>118</v>
      </c>
      <c r="CR2" s="7" t="s">
        <v>119</v>
      </c>
      <c r="CS2" s="7" t="s">
        <v>120</v>
      </c>
      <c r="CT2" s="19" t="s">
        <v>121</v>
      </c>
      <c r="CU2" s="76"/>
      <c r="CV2" s="76"/>
      <c r="CW2" s="76"/>
      <c r="CX2" s="76"/>
      <c r="CY2" s="76"/>
      <c r="CZ2" s="76"/>
      <c r="DA2" s="76"/>
      <c r="DB2" s="76"/>
      <c r="DC2" s="76"/>
      <c r="DD2" s="76"/>
      <c r="DE2" s="76"/>
      <c r="DF2" s="76"/>
      <c r="DG2" s="76"/>
      <c r="DH2" s="76"/>
      <c r="DI2" s="76"/>
      <c r="DJ2" s="76"/>
      <c r="DK2" s="76"/>
      <c r="DL2" s="77"/>
      <c r="DM2" s="77"/>
      <c r="DN2" s="74"/>
      <c r="DO2" s="74"/>
      <c r="DP2" s="74"/>
      <c r="DQ2" s="76"/>
      <c r="DR2" s="76"/>
      <c r="DS2" s="76"/>
      <c r="DT2" s="76"/>
      <c r="DU2" s="78"/>
      <c r="DV2" s="5"/>
    </row>
    <row r="3" spans="1:126">
      <c r="A3" s="5"/>
      <c r="B3" s="74"/>
      <c r="C3" s="74"/>
      <c r="D3" s="74"/>
      <c r="E3" s="74"/>
      <c r="F3" s="42" t="s">
        <v>143</v>
      </c>
      <c r="G3" s="5"/>
      <c r="H3" s="5"/>
      <c r="I3" s="5"/>
      <c r="J3" s="5"/>
      <c r="K3" s="74"/>
      <c r="L3" s="74"/>
      <c r="M3" s="74"/>
      <c r="N3" s="74"/>
      <c r="O3" s="74"/>
      <c r="P3" s="74"/>
      <c r="Q3" s="74"/>
      <c r="R3" s="74"/>
      <c r="S3" s="74"/>
      <c r="T3" s="74"/>
      <c r="U3" s="75">
        <v>19</v>
      </c>
      <c r="V3" s="24" t="s">
        <v>144</v>
      </c>
      <c r="W3" s="8" t="s">
        <v>127</v>
      </c>
      <c r="X3" s="8" t="s">
        <v>128</v>
      </c>
      <c r="Y3" s="79" t="s">
        <v>126</v>
      </c>
      <c r="Z3" s="81">
        <v>6</v>
      </c>
      <c r="AA3" s="31">
        <v>2</v>
      </c>
      <c r="AB3" s="31">
        <v>2</v>
      </c>
      <c r="AC3" s="31">
        <v>5</v>
      </c>
      <c r="AD3" s="31">
        <v>6</v>
      </c>
      <c r="AE3" s="31">
        <v>4</v>
      </c>
      <c r="AF3" s="33">
        <v>5</v>
      </c>
      <c r="AG3" s="33">
        <v>5</v>
      </c>
      <c r="AH3" s="33">
        <v>1</v>
      </c>
      <c r="AI3" s="33">
        <v>3</v>
      </c>
      <c r="AJ3" s="33">
        <v>5</v>
      </c>
      <c r="AK3" s="33">
        <v>4</v>
      </c>
      <c r="AL3" s="27">
        <v>6</v>
      </c>
      <c r="AM3" s="27">
        <v>4</v>
      </c>
      <c r="AN3" s="27">
        <v>1</v>
      </c>
      <c r="AO3" s="27">
        <v>3</v>
      </c>
      <c r="AP3" s="27">
        <v>1</v>
      </c>
      <c r="AQ3" s="27">
        <v>6</v>
      </c>
      <c r="AR3" s="27">
        <v>6</v>
      </c>
      <c r="AS3" s="27">
        <v>5</v>
      </c>
      <c r="AT3" s="27">
        <v>6</v>
      </c>
      <c r="AU3" s="27">
        <v>1</v>
      </c>
      <c r="AV3" s="27">
        <v>6</v>
      </c>
      <c r="AW3" s="27">
        <v>1</v>
      </c>
      <c r="AX3" s="27">
        <v>3</v>
      </c>
      <c r="AY3" s="27">
        <v>4</v>
      </c>
      <c r="AZ3" s="27">
        <v>7</v>
      </c>
      <c r="BA3" s="27">
        <v>6</v>
      </c>
      <c r="BB3" s="27">
        <v>4</v>
      </c>
      <c r="BC3" s="27">
        <v>2</v>
      </c>
      <c r="BD3" s="27">
        <v>4</v>
      </c>
      <c r="BE3" s="27">
        <v>6</v>
      </c>
      <c r="BF3" s="27">
        <v>5</v>
      </c>
      <c r="BG3" s="27">
        <v>5</v>
      </c>
      <c r="BH3" s="27">
        <v>3</v>
      </c>
      <c r="BI3" s="27">
        <v>1</v>
      </c>
      <c r="BJ3" s="27">
        <v>2</v>
      </c>
      <c r="BK3" s="27">
        <v>7</v>
      </c>
      <c r="BL3" s="29">
        <v>4</v>
      </c>
      <c r="BM3" s="29">
        <v>5</v>
      </c>
      <c r="BN3" s="29">
        <v>5</v>
      </c>
      <c r="BO3" s="29">
        <v>3</v>
      </c>
      <c r="BP3" s="29">
        <v>3</v>
      </c>
      <c r="BQ3" s="29">
        <v>3</v>
      </c>
      <c r="BR3" s="29">
        <v>4</v>
      </c>
      <c r="BS3" s="29">
        <v>3</v>
      </c>
      <c r="BT3" s="29">
        <v>4</v>
      </c>
      <c r="BU3" s="29">
        <v>5</v>
      </c>
      <c r="BV3" s="29">
        <v>4</v>
      </c>
      <c r="BW3" s="29">
        <v>3</v>
      </c>
      <c r="BX3" s="29">
        <v>3</v>
      </c>
      <c r="BY3" s="29">
        <v>4</v>
      </c>
      <c r="BZ3" s="29">
        <v>2</v>
      </c>
      <c r="CA3" s="29">
        <v>4</v>
      </c>
      <c r="CB3" s="29">
        <v>4</v>
      </c>
      <c r="CC3" s="29">
        <v>4</v>
      </c>
      <c r="CD3" s="29">
        <v>2</v>
      </c>
      <c r="CE3" s="29">
        <v>4</v>
      </c>
      <c r="CF3" s="29">
        <v>3</v>
      </c>
      <c r="CG3" s="29">
        <v>5</v>
      </c>
      <c r="CH3" s="29">
        <v>3</v>
      </c>
      <c r="CI3" s="29">
        <v>4</v>
      </c>
      <c r="CJ3" s="29">
        <v>4</v>
      </c>
      <c r="CK3" s="29">
        <v>2</v>
      </c>
      <c r="CL3" s="7">
        <v>1</v>
      </c>
      <c r="CM3" s="7">
        <v>5</v>
      </c>
      <c r="CN3" s="7">
        <v>7</v>
      </c>
      <c r="CO3" s="7">
        <v>6</v>
      </c>
      <c r="CP3" s="7">
        <v>6</v>
      </c>
      <c r="CQ3" s="7">
        <v>1</v>
      </c>
      <c r="CR3" s="7">
        <v>4</v>
      </c>
      <c r="CS3" s="7">
        <v>6</v>
      </c>
      <c r="CT3" s="19">
        <v>3</v>
      </c>
      <c r="CU3" s="76"/>
      <c r="CV3" s="76"/>
      <c r="CW3" s="76"/>
      <c r="CX3" s="76"/>
      <c r="CY3" s="76"/>
      <c r="CZ3" s="76"/>
      <c r="DA3" s="76"/>
      <c r="DB3" s="76"/>
      <c r="DC3" s="76"/>
      <c r="DD3" s="76"/>
      <c r="DE3" s="76"/>
      <c r="DF3" s="76"/>
      <c r="DG3" s="76"/>
      <c r="DH3" s="76"/>
      <c r="DI3" s="76"/>
      <c r="DJ3" s="76"/>
      <c r="DK3" s="76"/>
      <c r="DL3" s="77"/>
      <c r="DM3" s="77"/>
      <c r="DN3" s="74"/>
      <c r="DO3" s="74"/>
      <c r="DP3" s="74"/>
      <c r="DQ3" s="76"/>
      <c r="DR3" s="76"/>
      <c r="DS3" s="76"/>
      <c r="DT3" s="76"/>
      <c r="DU3" s="78"/>
      <c r="DV3" s="5"/>
    </row>
    <row r="4" spans="1:126">
      <c r="A4" s="5"/>
      <c r="B4" s="74"/>
      <c r="C4" s="74"/>
      <c r="D4" s="74"/>
      <c r="E4" s="74"/>
      <c r="F4" s="41" t="s">
        <v>145</v>
      </c>
      <c r="G4" s="5"/>
      <c r="H4" s="5"/>
      <c r="I4" s="5"/>
      <c r="J4" s="5"/>
      <c r="K4" s="74"/>
      <c r="L4" s="74"/>
      <c r="M4" s="74"/>
      <c r="N4" s="74"/>
      <c r="O4" s="74"/>
      <c r="P4" s="74"/>
      <c r="Q4" s="74"/>
      <c r="R4" s="74"/>
      <c r="S4" s="74"/>
      <c r="T4" s="74"/>
      <c r="U4" s="75">
        <v>23</v>
      </c>
      <c r="V4" s="24" t="s">
        <v>146</v>
      </c>
      <c r="W4" s="8" t="s">
        <v>122</v>
      </c>
      <c r="X4" s="8" t="s">
        <v>125</v>
      </c>
      <c r="Y4" s="79" t="s">
        <v>129</v>
      </c>
      <c r="Z4" s="81">
        <v>4</v>
      </c>
      <c r="AA4" s="31">
        <v>5</v>
      </c>
      <c r="AB4" s="31">
        <v>3</v>
      </c>
      <c r="AC4" s="31">
        <v>3</v>
      </c>
      <c r="AD4" s="31">
        <v>4</v>
      </c>
      <c r="AE4" s="31">
        <v>4</v>
      </c>
      <c r="AF4" s="33">
        <v>3</v>
      </c>
      <c r="AG4" s="33">
        <v>3</v>
      </c>
      <c r="AH4" s="33">
        <v>2</v>
      </c>
      <c r="AI4" s="33">
        <v>6</v>
      </c>
      <c r="AJ4" s="33">
        <v>3</v>
      </c>
      <c r="AK4" s="33">
        <v>3</v>
      </c>
      <c r="AL4" s="27">
        <v>5</v>
      </c>
      <c r="AM4" s="27">
        <v>6</v>
      </c>
      <c r="AN4" s="27">
        <v>2</v>
      </c>
      <c r="AO4" s="27">
        <v>4</v>
      </c>
      <c r="AP4" s="27">
        <v>3</v>
      </c>
      <c r="AQ4" s="27">
        <v>5</v>
      </c>
      <c r="AR4" s="27">
        <v>7</v>
      </c>
      <c r="AS4" s="27">
        <v>6</v>
      </c>
      <c r="AT4" s="27">
        <v>3</v>
      </c>
      <c r="AU4" s="27">
        <v>6</v>
      </c>
      <c r="AV4" s="27">
        <v>6</v>
      </c>
      <c r="AW4" s="27">
        <v>2</v>
      </c>
      <c r="AX4" s="27">
        <v>4</v>
      </c>
      <c r="AY4" s="27">
        <v>4</v>
      </c>
      <c r="AZ4" s="27">
        <v>4</v>
      </c>
      <c r="BA4" s="27">
        <v>5</v>
      </c>
      <c r="BB4" s="27">
        <v>3</v>
      </c>
      <c r="BC4" s="27">
        <v>4</v>
      </c>
      <c r="BD4" s="27">
        <v>4</v>
      </c>
      <c r="BE4" s="27">
        <v>3</v>
      </c>
      <c r="BF4" s="27">
        <v>3</v>
      </c>
      <c r="BG4" s="27">
        <v>5</v>
      </c>
      <c r="BH4" s="27">
        <v>5</v>
      </c>
      <c r="BI4" s="27">
        <v>3</v>
      </c>
      <c r="BJ4" s="27">
        <v>4</v>
      </c>
      <c r="BK4" s="27">
        <v>3</v>
      </c>
      <c r="BL4" s="29">
        <v>6</v>
      </c>
      <c r="BM4" s="29">
        <v>6</v>
      </c>
      <c r="BN4" s="29">
        <v>2</v>
      </c>
      <c r="BO4" s="29">
        <v>2</v>
      </c>
      <c r="BP4" s="29">
        <v>2</v>
      </c>
      <c r="BQ4" s="29">
        <v>6</v>
      </c>
      <c r="BR4" s="29">
        <v>6</v>
      </c>
      <c r="BS4" s="29">
        <v>6</v>
      </c>
      <c r="BT4" s="29">
        <v>2</v>
      </c>
      <c r="BU4" s="29">
        <v>2</v>
      </c>
      <c r="BV4" s="29">
        <v>6</v>
      </c>
      <c r="BW4" s="29">
        <v>2</v>
      </c>
      <c r="BX4" s="29">
        <v>6</v>
      </c>
      <c r="BY4" s="29">
        <v>6</v>
      </c>
      <c r="BZ4" s="29">
        <v>5</v>
      </c>
      <c r="CA4" s="29">
        <v>6</v>
      </c>
      <c r="CB4" s="29">
        <v>2</v>
      </c>
      <c r="CC4" s="29">
        <v>3</v>
      </c>
      <c r="CD4" s="29">
        <v>2</v>
      </c>
      <c r="CE4" s="29">
        <v>6</v>
      </c>
      <c r="CF4" s="29">
        <v>2</v>
      </c>
      <c r="CG4" s="29">
        <v>6</v>
      </c>
      <c r="CH4" s="29">
        <v>3</v>
      </c>
      <c r="CI4" s="29">
        <v>3</v>
      </c>
      <c r="CJ4" s="29">
        <v>3</v>
      </c>
      <c r="CK4" s="29">
        <v>5</v>
      </c>
      <c r="CL4" s="7">
        <v>4</v>
      </c>
      <c r="CM4" s="7">
        <v>7</v>
      </c>
      <c r="CN4" s="7">
        <v>7</v>
      </c>
      <c r="CO4" s="7">
        <v>6</v>
      </c>
      <c r="CP4" s="7">
        <v>6</v>
      </c>
      <c r="CQ4" s="7">
        <v>1</v>
      </c>
      <c r="CR4" s="7">
        <v>2</v>
      </c>
      <c r="CS4" s="7">
        <v>4</v>
      </c>
      <c r="CT4" s="19">
        <v>6</v>
      </c>
      <c r="CU4" s="76"/>
      <c r="CV4" s="76"/>
      <c r="CW4" s="76"/>
      <c r="CX4" s="76"/>
      <c r="CY4" s="76"/>
      <c r="CZ4" s="76"/>
      <c r="DA4" s="76"/>
      <c r="DB4" s="76"/>
      <c r="DC4" s="76"/>
      <c r="DD4" s="76"/>
      <c r="DE4" s="76"/>
      <c r="DF4" s="76"/>
      <c r="DG4" s="76"/>
      <c r="DH4" s="76"/>
      <c r="DI4" s="76"/>
      <c r="DJ4" s="76"/>
      <c r="DK4" s="76"/>
      <c r="DL4" s="77"/>
      <c r="DM4" s="77"/>
      <c r="DN4" s="74"/>
      <c r="DO4" s="74"/>
      <c r="DP4" s="74"/>
      <c r="DQ4" s="76"/>
      <c r="DR4" s="76"/>
      <c r="DS4" s="76"/>
      <c r="DT4" s="76"/>
      <c r="DU4" s="78"/>
      <c r="DV4" s="5"/>
    </row>
    <row r="5" spans="1:126">
      <c r="A5" s="5"/>
      <c r="B5" s="74"/>
      <c r="C5" s="74"/>
      <c r="D5" s="74"/>
      <c r="E5" s="74"/>
      <c r="F5" s="82" t="s">
        <v>147</v>
      </c>
      <c r="G5" s="5"/>
      <c r="H5" s="5"/>
      <c r="I5" s="5"/>
      <c r="J5" s="5"/>
      <c r="K5" s="74"/>
      <c r="L5" s="74"/>
      <c r="M5" s="74"/>
      <c r="N5" s="74"/>
      <c r="O5" s="74"/>
      <c r="P5" s="74"/>
      <c r="Q5" s="74"/>
      <c r="R5" s="74"/>
      <c r="S5" s="74"/>
      <c r="T5" s="74"/>
      <c r="U5" s="75">
        <v>25</v>
      </c>
      <c r="V5" s="24" t="s">
        <v>148</v>
      </c>
      <c r="W5" s="8" t="s">
        <v>122</v>
      </c>
      <c r="X5" s="8" t="s">
        <v>125</v>
      </c>
      <c r="Y5" s="79" t="s">
        <v>130</v>
      </c>
      <c r="Z5" s="81">
        <v>5</v>
      </c>
      <c r="AA5" s="31">
        <v>4</v>
      </c>
      <c r="AB5" s="31">
        <v>2</v>
      </c>
      <c r="AC5" s="31">
        <v>6</v>
      </c>
      <c r="AD5" s="31">
        <v>3</v>
      </c>
      <c r="AE5" s="31">
        <v>5</v>
      </c>
      <c r="AF5" s="33">
        <v>3</v>
      </c>
      <c r="AG5" s="33">
        <v>5</v>
      </c>
      <c r="AH5" s="33">
        <v>2</v>
      </c>
      <c r="AI5" s="33">
        <v>6</v>
      </c>
      <c r="AJ5" s="33">
        <v>2</v>
      </c>
      <c r="AK5" s="33">
        <v>3</v>
      </c>
      <c r="AL5" s="27">
        <v>5</v>
      </c>
      <c r="AM5" s="27">
        <v>3</v>
      </c>
      <c r="AN5" s="27">
        <v>2</v>
      </c>
      <c r="AO5" s="27">
        <v>3</v>
      </c>
      <c r="AP5" s="27">
        <v>4</v>
      </c>
      <c r="AQ5" s="27">
        <v>6</v>
      </c>
      <c r="AR5" s="27">
        <v>5</v>
      </c>
      <c r="AS5" s="27">
        <v>4</v>
      </c>
      <c r="AT5" s="27">
        <v>3</v>
      </c>
      <c r="AU5" s="27">
        <v>2</v>
      </c>
      <c r="AV5" s="27">
        <v>4</v>
      </c>
      <c r="AW5" s="27">
        <v>3</v>
      </c>
      <c r="AX5" s="27">
        <v>5</v>
      </c>
      <c r="AY5" s="27">
        <v>4</v>
      </c>
      <c r="AZ5" s="27">
        <v>6</v>
      </c>
      <c r="BA5" s="27">
        <v>5</v>
      </c>
      <c r="BB5" s="27">
        <v>5</v>
      </c>
      <c r="BC5" s="27">
        <v>3</v>
      </c>
      <c r="BD5" s="27">
        <v>3</v>
      </c>
      <c r="BE5" s="27">
        <v>4</v>
      </c>
      <c r="BF5" s="27">
        <v>5</v>
      </c>
      <c r="BG5" s="27">
        <v>4</v>
      </c>
      <c r="BH5" s="27">
        <v>2</v>
      </c>
      <c r="BI5" s="27">
        <v>3</v>
      </c>
      <c r="BJ5" s="27">
        <v>2</v>
      </c>
      <c r="BK5" s="27">
        <v>6</v>
      </c>
      <c r="BL5" s="29">
        <v>5</v>
      </c>
      <c r="BM5" s="29">
        <v>6</v>
      </c>
      <c r="BN5" s="29">
        <v>3</v>
      </c>
      <c r="BO5" s="29">
        <v>3</v>
      </c>
      <c r="BP5" s="29">
        <v>3</v>
      </c>
      <c r="BQ5" s="29">
        <v>5</v>
      </c>
      <c r="BR5" s="29">
        <v>6</v>
      </c>
      <c r="BS5" s="29">
        <v>6</v>
      </c>
      <c r="BT5" s="29">
        <v>3</v>
      </c>
      <c r="BU5" s="29">
        <v>3</v>
      </c>
      <c r="BV5" s="29">
        <v>6</v>
      </c>
      <c r="BW5" s="29">
        <v>3</v>
      </c>
      <c r="BX5" s="29">
        <v>3</v>
      </c>
      <c r="BY5" s="29">
        <v>6</v>
      </c>
      <c r="BZ5" s="29">
        <v>5</v>
      </c>
      <c r="CA5" s="29">
        <v>6</v>
      </c>
      <c r="CB5" s="29">
        <v>3</v>
      </c>
      <c r="CC5" s="29">
        <v>3</v>
      </c>
      <c r="CD5" s="29">
        <v>3</v>
      </c>
      <c r="CE5" s="29">
        <v>5</v>
      </c>
      <c r="CF5" s="29">
        <v>5</v>
      </c>
      <c r="CG5" s="29">
        <v>6</v>
      </c>
      <c r="CH5" s="29">
        <v>3</v>
      </c>
      <c r="CI5" s="29">
        <v>3</v>
      </c>
      <c r="CJ5" s="29">
        <v>2</v>
      </c>
      <c r="CK5" s="29">
        <v>4</v>
      </c>
      <c r="CL5" s="7">
        <v>2</v>
      </c>
      <c r="CM5" s="7">
        <v>5</v>
      </c>
      <c r="CN5" s="7">
        <v>6</v>
      </c>
      <c r="CO5" s="7">
        <v>6</v>
      </c>
      <c r="CP5" s="7">
        <v>7</v>
      </c>
      <c r="CQ5" s="7">
        <v>2</v>
      </c>
      <c r="CR5" s="7">
        <v>6</v>
      </c>
      <c r="CS5" s="7">
        <v>6</v>
      </c>
      <c r="CT5" s="19">
        <v>6</v>
      </c>
      <c r="CU5" s="76"/>
      <c r="CV5" s="76"/>
      <c r="CW5" s="76"/>
      <c r="CX5" s="76"/>
      <c r="CY5" s="76"/>
      <c r="CZ5" s="76"/>
      <c r="DA5" s="76"/>
      <c r="DB5" s="76"/>
      <c r="DC5" s="76"/>
      <c r="DD5" s="76"/>
      <c r="DE5" s="76"/>
      <c r="DF5" s="76"/>
      <c r="DG5" s="76"/>
      <c r="DH5" s="76"/>
      <c r="DI5" s="76"/>
      <c r="DJ5" s="76"/>
      <c r="DK5" s="76"/>
      <c r="DL5" s="77"/>
      <c r="DM5" s="77"/>
      <c r="DN5" s="74"/>
      <c r="DO5" s="74"/>
      <c r="DP5" s="74"/>
      <c r="DQ5" s="76"/>
      <c r="DR5" s="76"/>
      <c r="DS5" s="76"/>
      <c r="DT5" s="76"/>
      <c r="DU5" s="78"/>
      <c r="DV5" s="5"/>
    </row>
    <row r="6" spans="1:126">
      <c r="A6" s="5"/>
      <c r="B6" s="74"/>
      <c r="C6" s="74"/>
      <c r="D6" s="74"/>
      <c r="E6" s="74"/>
      <c r="F6" s="83" t="s">
        <v>149</v>
      </c>
      <c r="G6" s="5"/>
      <c r="H6" s="5"/>
      <c r="I6" s="5"/>
      <c r="J6" s="5"/>
      <c r="K6" s="74"/>
      <c r="L6" s="74"/>
      <c r="M6" s="74"/>
      <c r="N6" s="74"/>
      <c r="O6" s="74"/>
      <c r="P6" s="74"/>
      <c r="Q6" s="74"/>
      <c r="R6" s="74"/>
      <c r="S6" s="74"/>
      <c r="T6" s="74"/>
      <c r="U6" s="75">
        <v>29</v>
      </c>
      <c r="V6" s="24" t="s">
        <v>148</v>
      </c>
      <c r="W6" s="8" t="s">
        <v>122</v>
      </c>
      <c r="X6" s="8" t="s">
        <v>131</v>
      </c>
      <c r="Y6" s="79" t="s">
        <v>126</v>
      </c>
      <c r="Z6" s="81">
        <v>6</v>
      </c>
      <c r="AA6" s="31">
        <v>1</v>
      </c>
      <c r="AB6" s="31">
        <v>1</v>
      </c>
      <c r="AC6" s="31">
        <v>6</v>
      </c>
      <c r="AD6" s="31">
        <v>6</v>
      </c>
      <c r="AE6" s="31">
        <v>1</v>
      </c>
      <c r="AF6" s="33">
        <v>5</v>
      </c>
      <c r="AG6" s="33">
        <v>1</v>
      </c>
      <c r="AH6" s="33">
        <v>1</v>
      </c>
      <c r="AI6" s="33">
        <v>7</v>
      </c>
      <c r="AJ6" s="33">
        <v>4</v>
      </c>
      <c r="AK6" s="33">
        <v>1</v>
      </c>
      <c r="AL6" s="27">
        <v>7</v>
      </c>
      <c r="AM6" s="27">
        <v>6</v>
      </c>
      <c r="AN6" s="27">
        <v>1</v>
      </c>
      <c r="AO6" s="27">
        <v>2</v>
      </c>
      <c r="AP6" s="27">
        <v>1</v>
      </c>
      <c r="AQ6" s="27">
        <v>7</v>
      </c>
      <c r="AR6" s="27">
        <v>7</v>
      </c>
      <c r="AS6" s="27">
        <v>4</v>
      </c>
      <c r="AT6" s="27">
        <v>2</v>
      </c>
      <c r="AU6" s="27">
        <v>1</v>
      </c>
      <c r="AV6" s="27">
        <v>7</v>
      </c>
      <c r="AW6" s="27">
        <v>1</v>
      </c>
      <c r="AX6" s="27">
        <v>7</v>
      </c>
      <c r="AY6" s="27">
        <v>7</v>
      </c>
      <c r="AZ6" s="27">
        <v>7</v>
      </c>
      <c r="BA6" s="27">
        <v>7</v>
      </c>
      <c r="BB6" s="27">
        <v>1</v>
      </c>
      <c r="BC6" s="27">
        <v>1</v>
      </c>
      <c r="BD6" s="27">
        <v>6</v>
      </c>
      <c r="BE6" s="27">
        <v>7</v>
      </c>
      <c r="BF6" s="27">
        <v>1</v>
      </c>
      <c r="BG6" s="27">
        <v>5</v>
      </c>
      <c r="BH6" s="27">
        <v>1</v>
      </c>
      <c r="BI6" s="27">
        <v>1</v>
      </c>
      <c r="BJ6" s="27">
        <v>1</v>
      </c>
      <c r="BK6" s="27">
        <v>7</v>
      </c>
      <c r="BL6" s="29">
        <v>7</v>
      </c>
      <c r="BM6" s="29">
        <v>7</v>
      </c>
      <c r="BN6" s="29">
        <v>1</v>
      </c>
      <c r="BO6" s="29">
        <v>2</v>
      </c>
      <c r="BP6" s="29">
        <v>1</v>
      </c>
      <c r="BQ6" s="29">
        <v>7</v>
      </c>
      <c r="BR6" s="29">
        <v>7</v>
      </c>
      <c r="BS6" s="29">
        <v>4</v>
      </c>
      <c r="BT6" s="29">
        <v>1</v>
      </c>
      <c r="BU6" s="29">
        <v>1</v>
      </c>
      <c r="BV6" s="29">
        <v>7</v>
      </c>
      <c r="BW6" s="29">
        <v>1</v>
      </c>
      <c r="BX6" s="29">
        <v>7</v>
      </c>
      <c r="BY6" s="29">
        <v>7</v>
      </c>
      <c r="BZ6" s="29">
        <v>7</v>
      </c>
      <c r="CA6" s="29">
        <v>7</v>
      </c>
      <c r="CB6" s="29">
        <v>1</v>
      </c>
      <c r="CC6" s="29">
        <v>1</v>
      </c>
      <c r="CD6" s="29">
        <v>4</v>
      </c>
      <c r="CE6" s="29">
        <v>7</v>
      </c>
      <c r="CF6" s="29">
        <v>1</v>
      </c>
      <c r="CG6" s="29">
        <v>7</v>
      </c>
      <c r="CH6" s="29">
        <v>1</v>
      </c>
      <c r="CI6" s="29">
        <v>1</v>
      </c>
      <c r="CJ6" s="29">
        <v>1</v>
      </c>
      <c r="CK6" s="29">
        <v>7</v>
      </c>
      <c r="CL6" s="7">
        <v>6</v>
      </c>
      <c r="CM6" s="7">
        <v>7</v>
      </c>
      <c r="CN6" s="7">
        <v>7</v>
      </c>
      <c r="CO6" s="7">
        <v>7</v>
      </c>
      <c r="CP6" s="7">
        <v>7</v>
      </c>
      <c r="CQ6" s="7">
        <v>3</v>
      </c>
      <c r="CR6" s="7">
        <v>6</v>
      </c>
      <c r="CS6" s="7">
        <v>7</v>
      </c>
      <c r="CT6" s="19">
        <v>7</v>
      </c>
      <c r="CU6" s="76"/>
      <c r="CV6" s="76"/>
      <c r="CW6" s="76"/>
      <c r="CX6" s="76"/>
      <c r="CY6" s="76"/>
      <c r="CZ6" s="76"/>
      <c r="DA6" s="76"/>
      <c r="DB6" s="76"/>
      <c r="DC6" s="76"/>
      <c r="DD6" s="76"/>
      <c r="DE6" s="76"/>
      <c r="DF6" s="76"/>
      <c r="DG6" s="76"/>
      <c r="DH6" s="76"/>
      <c r="DI6" s="76"/>
      <c r="DJ6" s="76"/>
      <c r="DK6" s="76"/>
      <c r="DL6" s="77"/>
      <c r="DM6" s="77"/>
      <c r="DN6" s="74"/>
      <c r="DO6" s="74"/>
      <c r="DP6" s="74"/>
      <c r="DQ6" s="76"/>
      <c r="DR6" s="76"/>
      <c r="DS6" s="76"/>
      <c r="DT6" s="76"/>
      <c r="DU6" s="78"/>
      <c r="DV6" s="5"/>
    </row>
    <row r="7" spans="1:126">
      <c r="A7" s="5"/>
      <c r="B7" s="74"/>
      <c r="C7" s="74"/>
      <c r="D7" s="74"/>
      <c r="E7" s="74"/>
      <c r="F7" s="5"/>
      <c r="G7" s="5"/>
      <c r="H7" s="5"/>
      <c r="I7" s="5"/>
      <c r="J7" s="5"/>
      <c r="K7" s="74"/>
      <c r="L7" s="74"/>
      <c r="M7" s="74"/>
      <c r="N7" s="74"/>
      <c r="O7" s="74"/>
      <c r="P7" s="74"/>
      <c r="Q7" s="74"/>
      <c r="R7" s="74"/>
      <c r="S7" s="74"/>
      <c r="T7" s="74"/>
      <c r="U7" s="75">
        <v>30</v>
      </c>
      <c r="V7" s="24" t="s">
        <v>150</v>
      </c>
      <c r="W7" s="8" t="s">
        <v>127</v>
      </c>
      <c r="X7" s="8" t="s">
        <v>131</v>
      </c>
      <c r="Y7" s="79" t="s">
        <v>132</v>
      </c>
      <c r="Z7" s="81">
        <v>6</v>
      </c>
      <c r="AA7" s="31">
        <v>3</v>
      </c>
      <c r="AB7" s="31">
        <v>5</v>
      </c>
      <c r="AC7" s="31">
        <v>3</v>
      </c>
      <c r="AD7" s="31">
        <v>6</v>
      </c>
      <c r="AE7" s="31">
        <v>3</v>
      </c>
      <c r="AF7" s="33">
        <v>5</v>
      </c>
      <c r="AG7" s="33">
        <v>2</v>
      </c>
      <c r="AH7" s="33">
        <v>5</v>
      </c>
      <c r="AI7" s="33">
        <v>3</v>
      </c>
      <c r="AJ7" s="33">
        <v>5</v>
      </c>
      <c r="AK7" s="33">
        <v>5</v>
      </c>
      <c r="AL7" s="27">
        <v>5</v>
      </c>
      <c r="AM7" s="27">
        <v>3</v>
      </c>
      <c r="AN7" s="27">
        <v>1</v>
      </c>
      <c r="AO7" s="27">
        <v>6</v>
      </c>
      <c r="AP7" s="27">
        <v>2</v>
      </c>
      <c r="AQ7" s="27">
        <v>6</v>
      </c>
      <c r="AR7" s="27">
        <v>6</v>
      </c>
      <c r="AS7" s="27">
        <v>3</v>
      </c>
      <c r="AT7" s="27">
        <v>2</v>
      </c>
      <c r="AU7" s="27">
        <v>1</v>
      </c>
      <c r="AV7" s="27">
        <v>6</v>
      </c>
      <c r="AW7" s="27">
        <v>1</v>
      </c>
      <c r="AX7" s="27">
        <v>4</v>
      </c>
      <c r="AY7" s="27">
        <v>5</v>
      </c>
      <c r="AZ7" s="27">
        <v>6</v>
      </c>
      <c r="BA7" s="27">
        <v>5</v>
      </c>
      <c r="BB7" s="27">
        <v>4</v>
      </c>
      <c r="BC7" s="27">
        <v>1</v>
      </c>
      <c r="BD7" s="27">
        <v>2</v>
      </c>
      <c r="BE7" s="27">
        <v>5</v>
      </c>
      <c r="BF7" s="27">
        <v>4</v>
      </c>
      <c r="BG7" s="27">
        <v>4</v>
      </c>
      <c r="BH7" s="27">
        <v>4</v>
      </c>
      <c r="BI7" s="27">
        <v>3</v>
      </c>
      <c r="BJ7" s="27">
        <v>3</v>
      </c>
      <c r="BK7" s="27">
        <v>6</v>
      </c>
      <c r="BL7" s="29">
        <v>6</v>
      </c>
      <c r="BM7" s="29">
        <v>6</v>
      </c>
      <c r="BN7" s="29">
        <v>2</v>
      </c>
      <c r="BO7" s="29">
        <v>4</v>
      </c>
      <c r="BP7" s="29">
        <v>2</v>
      </c>
      <c r="BQ7" s="29">
        <v>6</v>
      </c>
      <c r="BR7" s="29">
        <v>6</v>
      </c>
      <c r="BS7" s="29">
        <v>4</v>
      </c>
      <c r="BT7" s="29">
        <v>1</v>
      </c>
      <c r="BU7" s="29">
        <v>2</v>
      </c>
      <c r="BV7" s="29">
        <v>6</v>
      </c>
      <c r="BW7" s="29">
        <v>2</v>
      </c>
      <c r="BX7" s="29">
        <v>4</v>
      </c>
      <c r="BY7" s="29">
        <v>6</v>
      </c>
      <c r="BZ7" s="29">
        <v>6</v>
      </c>
      <c r="CA7" s="29">
        <v>6</v>
      </c>
      <c r="CB7" s="29">
        <v>3</v>
      </c>
      <c r="CC7" s="29">
        <v>1</v>
      </c>
      <c r="CD7" s="29">
        <v>2</v>
      </c>
      <c r="CE7" s="29">
        <v>6</v>
      </c>
      <c r="CF7" s="29">
        <v>3</v>
      </c>
      <c r="CG7" s="29">
        <v>4</v>
      </c>
      <c r="CH7" s="29">
        <v>3</v>
      </c>
      <c r="CI7" s="29">
        <v>2</v>
      </c>
      <c r="CJ7" s="29">
        <v>2</v>
      </c>
      <c r="CK7" s="29">
        <v>6</v>
      </c>
      <c r="CL7" s="7">
        <v>1</v>
      </c>
      <c r="CM7" s="7">
        <v>6</v>
      </c>
      <c r="CN7" s="7">
        <v>3</v>
      </c>
      <c r="CO7" s="7">
        <v>7</v>
      </c>
      <c r="CP7" s="7">
        <v>7</v>
      </c>
      <c r="CQ7" s="7">
        <v>3</v>
      </c>
      <c r="CR7" s="7">
        <v>1</v>
      </c>
      <c r="CS7" s="7">
        <v>6</v>
      </c>
      <c r="CT7" s="19">
        <v>2</v>
      </c>
      <c r="CU7" s="76"/>
      <c r="CV7" s="76"/>
      <c r="CW7" s="76"/>
      <c r="CX7" s="76"/>
      <c r="CY7" s="76"/>
      <c r="CZ7" s="76"/>
      <c r="DA7" s="76"/>
      <c r="DB7" s="76"/>
      <c r="DC7" s="76"/>
      <c r="DD7" s="76"/>
      <c r="DE7" s="76"/>
      <c r="DF7" s="76"/>
      <c r="DG7" s="76"/>
      <c r="DH7" s="76"/>
      <c r="DI7" s="76"/>
      <c r="DJ7" s="76"/>
      <c r="DK7" s="76"/>
      <c r="DL7" s="77"/>
      <c r="DM7" s="77"/>
      <c r="DN7" s="74"/>
      <c r="DO7" s="74"/>
      <c r="DP7" s="74"/>
      <c r="DQ7" s="76"/>
      <c r="DR7" s="76"/>
      <c r="DS7" s="76"/>
      <c r="DT7" s="76"/>
      <c r="DU7" s="78"/>
      <c r="DV7" s="5"/>
    </row>
    <row r="8" spans="1:126">
      <c r="A8" s="5"/>
      <c r="B8" s="74"/>
      <c r="C8" s="74"/>
      <c r="D8" s="74"/>
      <c r="E8" s="74"/>
      <c r="F8" s="5"/>
      <c r="G8" s="5"/>
      <c r="H8" s="5"/>
      <c r="I8" s="5"/>
      <c r="J8" s="5"/>
      <c r="K8" s="74"/>
      <c r="L8" s="74"/>
      <c r="M8" s="74"/>
      <c r="N8" s="74"/>
      <c r="O8" s="74"/>
      <c r="P8" s="74"/>
      <c r="Q8" s="74"/>
      <c r="R8" s="74"/>
      <c r="S8" s="74"/>
      <c r="T8" s="74"/>
      <c r="U8" s="75">
        <v>33</v>
      </c>
      <c r="V8" s="24" t="s">
        <v>151</v>
      </c>
      <c r="W8" s="8" t="s">
        <v>122</v>
      </c>
      <c r="X8" s="8" t="s">
        <v>128</v>
      </c>
      <c r="Y8" s="79" t="s">
        <v>126</v>
      </c>
      <c r="Z8" s="81">
        <v>5</v>
      </c>
      <c r="AA8" s="31">
        <v>5</v>
      </c>
      <c r="AB8" s="31">
        <v>3</v>
      </c>
      <c r="AC8" s="31">
        <v>5</v>
      </c>
      <c r="AD8" s="31">
        <v>5</v>
      </c>
      <c r="AE8" s="31">
        <v>2</v>
      </c>
      <c r="AF8" s="33">
        <v>4</v>
      </c>
      <c r="AG8" s="33">
        <v>3</v>
      </c>
      <c r="AH8" s="33">
        <v>3</v>
      </c>
      <c r="AI8" s="33">
        <v>4</v>
      </c>
      <c r="AJ8" s="33">
        <v>5</v>
      </c>
      <c r="AK8" s="33">
        <v>4</v>
      </c>
      <c r="AL8" s="27">
        <v>6</v>
      </c>
      <c r="AM8" s="27">
        <v>5</v>
      </c>
      <c r="AN8" s="27">
        <v>2</v>
      </c>
      <c r="AO8" s="27">
        <v>2</v>
      </c>
      <c r="AP8" s="27">
        <v>2</v>
      </c>
      <c r="AQ8" s="27">
        <v>7</v>
      </c>
      <c r="AR8" s="27">
        <v>6</v>
      </c>
      <c r="AS8" s="27">
        <v>3</v>
      </c>
      <c r="AT8" s="27">
        <v>4</v>
      </c>
      <c r="AU8" s="27">
        <v>3</v>
      </c>
      <c r="AV8" s="27">
        <v>5</v>
      </c>
      <c r="AW8" s="27">
        <v>2</v>
      </c>
      <c r="AX8" s="27">
        <v>6</v>
      </c>
      <c r="AY8" s="27">
        <v>4</v>
      </c>
      <c r="AZ8" s="27">
        <v>5</v>
      </c>
      <c r="BA8" s="27">
        <v>6</v>
      </c>
      <c r="BB8" s="27">
        <v>3</v>
      </c>
      <c r="BC8" s="27">
        <v>2</v>
      </c>
      <c r="BD8" s="27">
        <v>4</v>
      </c>
      <c r="BE8" s="27">
        <v>5</v>
      </c>
      <c r="BF8" s="27">
        <v>3</v>
      </c>
      <c r="BG8" s="27">
        <v>5</v>
      </c>
      <c r="BH8" s="27">
        <v>2</v>
      </c>
      <c r="BI8" s="27">
        <v>2</v>
      </c>
      <c r="BJ8" s="27">
        <v>2</v>
      </c>
      <c r="BK8" s="27">
        <v>5</v>
      </c>
      <c r="BL8" s="29">
        <v>5</v>
      </c>
      <c r="BM8" s="29">
        <v>6</v>
      </c>
      <c r="BN8" s="29">
        <v>2</v>
      </c>
      <c r="BO8" s="29">
        <v>2</v>
      </c>
      <c r="BP8" s="29">
        <v>2</v>
      </c>
      <c r="BQ8" s="29">
        <v>5</v>
      </c>
      <c r="BR8" s="29">
        <v>6</v>
      </c>
      <c r="BS8" s="29">
        <v>3</v>
      </c>
      <c r="BT8" s="29">
        <v>5</v>
      </c>
      <c r="BU8" s="29">
        <v>1</v>
      </c>
      <c r="BV8" s="29">
        <v>6</v>
      </c>
      <c r="BW8" s="29">
        <v>2</v>
      </c>
      <c r="BX8" s="29">
        <v>7</v>
      </c>
      <c r="BY8" s="29">
        <v>6</v>
      </c>
      <c r="BZ8" s="29">
        <v>6</v>
      </c>
      <c r="CA8" s="29">
        <v>6</v>
      </c>
      <c r="CB8" s="29">
        <v>2</v>
      </c>
      <c r="CC8" s="29">
        <v>2</v>
      </c>
      <c r="CD8" s="29">
        <v>4</v>
      </c>
      <c r="CE8" s="29">
        <v>7</v>
      </c>
      <c r="CF8" s="29">
        <v>2</v>
      </c>
      <c r="CG8" s="29">
        <v>7</v>
      </c>
      <c r="CH8" s="29">
        <v>1</v>
      </c>
      <c r="CI8" s="29">
        <v>1</v>
      </c>
      <c r="CJ8" s="29">
        <v>1</v>
      </c>
      <c r="CK8" s="29">
        <v>7</v>
      </c>
      <c r="CL8" s="7">
        <v>3</v>
      </c>
      <c r="CM8" s="7">
        <v>6</v>
      </c>
      <c r="CN8" s="7">
        <v>6</v>
      </c>
      <c r="CO8" s="7">
        <v>6</v>
      </c>
      <c r="CP8" s="7">
        <v>7</v>
      </c>
      <c r="CQ8" s="7">
        <v>4</v>
      </c>
      <c r="CR8" s="7">
        <v>1</v>
      </c>
      <c r="CS8" s="7">
        <v>6</v>
      </c>
      <c r="CT8" s="19">
        <v>5</v>
      </c>
      <c r="CU8" s="76"/>
      <c r="CV8" s="76"/>
      <c r="CW8" s="76"/>
      <c r="CX8" s="76"/>
      <c r="CY8" s="76"/>
      <c r="CZ8" s="76"/>
      <c r="DA8" s="76"/>
      <c r="DB8" s="76"/>
      <c r="DC8" s="76"/>
      <c r="DD8" s="76"/>
      <c r="DE8" s="76"/>
      <c r="DF8" s="76"/>
      <c r="DG8" s="76"/>
      <c r="DH8" s="76"/>
      <c r="DI8" s="76"/>
      <c r="DJ8" s="76"/>
      <c r="DK8" s="76"/>
      <c r="DL8" s="77"/>
      <c r="DM8" s="77"/>
      <c r="DN8" s="74"/>
      <c r="DO8" s="74"/>
      <c r="DP8" s="74"/>
      <c r="DQ8" s="76"/>
      <c r="DR8" s="76"/>
      <c r="DS8" s="76"/>
      <c r="DT8" s="76"/>
      <c r="DU8" s="78"/>
      <c r="DV8" s="5"/>
    </row>
    <row r="9" spans="1:126">
      <c r="A9" s="5"/>
      <c r="B9" s="74"/>
      <c r="C9" s="74"/>
      <c r="D9" s="74"/>
      <c r="E9" s="74"/>
      <c r="F9" s="5"/>
      <c r="G9" s="5"/>
      <c r="H9" s="5"/>
      <c r="I9" s="5"/>
      <c r="J9" s="5"/>
      <c r="K9" s="74"/>
      <c r="L9" s="74"/>
      <c r="M9" s="74"/>
      <c r="N9" s="74"/>
      <c r="O9" s="74"/>
      <c r="P9" s="74"/>
      <c r="Q9" s="74"/>
      <c r="R9" s="74"/>
      <c r="S9" s="74"/>
      <c r="T9" s="74"/>
      <c r="U9" s="75">
        <v>34</v>
      </c>
      <c r="V9" s="24" t="s">
        <v>152</v>
      </c>
      <c r="W9" s="8" t="s">
        <v>122</v>
      </c>
      <c r="X9" s="8" t="s">
        <v>125</v>
      </c>
      <c r="Y9" s="79" t="s">
        <v>133</v>
      </c>
      <c r="Z9" s="81">
        <v>3</v>
      </c>
      <c r="AA9" s="31">
        <v>2</v>
      </c>
      <c r="AB9" s="31">
        <v>3</v>
      </c>
      <c r="AC9" s="31">
        <v>6</v>
      </c>
      <c r="AD9" s="31">
        <v>6</v>
      </c>
      <c r="AE9" s="31">
        <v>1</v>
      </c>
      <c r="AF9" s="33">
        <v>6</v>
      </c>
      <c r="AG9" s="33">
        <v>7</v>
      </c>
      <c r="AH9" s="33">
        <v>5</v>
      </c>
      <c r="AI9" s="33">
        <v>4</v>
      </c>
      <c r="AJ9" s="33">
        <v>6</v>
      </c>
      <c r="AK9" s="33">
        <v>2</v>
      </c>
      <c r="AL9" s="27">
        <v>5</v>
      </c>
      <c r="AM9" s="27">
        <v>7</v>
      </c>
      <c r="AN9" s="27">
        <v>2</v>
      </c>
      <c r="AO9" s="27">
        <v>1</v>
      </c>
      <c r="AP9" s="27">
        <v>1</v>
      </c>
      <c r="AQ9" s="27">
        <v>6</v>
      </c>
      <c r="AR9" s="27">
        <v>7</v>
      </c>
      <c r="AS9" s="27">
        <v>5</v>
      </c>
      <c r="AT9" s="27">
        <v>3</v>
      </c>
      <c r="AU9" s="27">
        <v>3</v>
      </c>
      <c r="AV9" s="27">
        <v>7</v>
      </c>
      <c r="AW9" s="27">
        <v>1</v>
      </c>
      <c r="AX9" s="27">
        <v>6</v>
      </c>
      <c r="AY9" s="27">
        <v>6</v>
      </c>
      <c r="AZ9" s="27">
        <v>5</v>
      </c>
      <c r="BA9" s="27">
        <v>7</v>
      </c>
      <c r="BB9" s="27">
        <v>1</v>
      </c>
      <c r="BC9" s="27">
        <v>2</v>
      </c>
      <c r="BD9" s="27">
        <v>1</v>
      </c>
      <c r="BE9" s="27">
        <v>6</v>
      </c>
      <c r="BF9" s="27">
        <v>3</v>
      </c>
      <c r="BG9" s="27">
        <v>6</v>
      </c>
      <c r="BH9" s="27">
        <v>1</v>
      </c>
      <c r="BI9" s="27">
        <v>1</v>
      </c>
      <c r="BJ9" s="27">
        <v>1</v>
      </c>
      <c r="BK9" s="27">
        <v>6</v>
      </c>
      <c r="BL9" s="29">
        <v>6</v>
      </c>
      <c r="BM9" s="29">
        <v>7</v>
      </c>
      <c r="BN9" s="29">
        <v>1</v>
      </c>
      <c r="BO9" s="29">
        <v>3</v>
      </c>
      <c r="BP9" s="29">
        <v>1</v>
      </c>
      <c r="BQ9" s="29">
        <v>7</v>
      </c>
      <c r="BR9" s="29">
        <v>7</v>
      </c>
      <c r="BS9" s="29">
        <v>5</v>
      </c>
      <c r="BT9" s="29">
        <v>3</v>
      </c>
      <c r="BU9" s="29">
        <v>2</v>
      </c>
      <c r="BV9" s="29">
        <v>6</v>
      </c>
      <c r="BW9" s="29">
        <v>1</v>
      </c>
      <c r="BX9" s="29">
        <v>5</v>
      </c>
      <c r="BY9" s="29">
        <v>6</v>
      </c>
      <c r="BZ9" s="29">
        <v>7</v>
      </c>
      <c r="CA9" s="29">
        <v>5</v>
      </c>
      <c r="CB9" s="29">
        <v>2</v>
      </c>
      <c r="CC9" s="29">
        <v>1</v>
      </c>
      <c r="CD9" s="29">
        <v>3</v>
      </c>
      <c r="CE9" s="29">
        <v>6</v>
      </c>
      <c r="CF9" s="29">
        <v>2</v>
      </c>
      <c r="CG9" s="29">
        <v>6</v>
      </c>
      <c r="CH9" s="29">
        <v>2</v>
      </c>
      <c r="CI9" s="29">
        <v>1</v>
      </c>
      <c r="CJ9" s="29">
        <v>2</v>
      </c>
      <c r="CK9" s="29">
        <v>6</v>
      </c>
      <c r="CL9" s="7">
        <v>6</v>
      </c>
      <c r="CM9" s="7">
        <v>6</v>
      </c>
      <c r="CN9" s="7">
        <v>7</v>
      </c>
      <c r="CO9" s="7">
        <v>7</v>
      </c>
      <c r="CP9" s="7">
        <v>7</v>
      </c>
      <c r="CQ9" s="7">
        <v>3</v>
      </c>
      <c r="CR9" s="7">
        <v>2</v>
      </c>
      <c r="CS9" s="7">
        <v>7</v>
      </c>
      <c r="CT9" s="19">
        <v>5</v>
      </c>
      <c r="CU9" s="76"/>
      <c r="CV9" s="76"/>
      <c r="CW9" s="76"/>
      <c r="CX9" s="76"/>
      <c r="CY9" s="76"/>
      <c r="CZ9" s="76"/>
      <c r="DA9" s="76"/>
      <c r="DB9" s="76"/>
      <c r="DC9" s="76"/>
      <c r="DD9" s="76"/>
      <c r="DE9" s="76"/>
      <c r="DF9" s="76"/>
      <c r="DG9" s="76"/>
      <c r="DH9" s="76"/>
      <c r="DI9" s="76"/>
      <c r="DJ9" s="76"/>
      <c r="DK9" s="76"/>
      <c r="DL9" s="77"/>
      <c r="DM9" s="77"/>
      <c r="DN9" s="74"/>
      <c r="DO9" s="74"/>
      <c r="DP9" s="74"/>
      <c r="DQ9" s="76"/>
      <c r="DR9" s="76"/>
      <c r="DS9" s="76"/>
      <c r="DT9" s="76"/>
      <c r="DU9" s="78"/>
      <c r="DV9" s="5"/>
    </row>
    <row r="10" spans="1:126">
      <c r="A10" s="5"/>
      <c r="B10" s="74"/>
      <c r="C10" s="74"/>
      <c r="D10" s="74"/>
      <c r="E10" s="74"/>
      <c r="F10" s="5"/>
      <c r="G10" s="5"/>
      <c r="H10" s="5"/>
      <c r="I10" s="5"/>
      <c r="J10" s="5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5">
        <v>35</v>
      </c>
      <c r="V10" s="24" t="s">
        <v>146</v>
      </c>
      <c r="W10" s="8" t="s">
        <v>127</v>
      </c>
      <c r="X10" s="8" t="s">
        <v>125</v>
      </c>
      <c r="Y10" s="79" t="s">
        <v>126</v>
      </c>
      <c r="Z10" s="81">
        <v>7</v>
      </c>
      <c r="AA10" s="31">
        <v>3</v>
      </c>
      <c r="AB10" s="31">
        <v>5</v>
      </c>
      <c r="AC10" s="31">
        <v>2</v>
      </c>
      <c r="AD10" s="31">
        <v>5</v>
      </c>
      <c r="AE10" s="31">
        <v>4</v>
      </c>
      <c r="AF10" s="33">
        <v>5</v>
      </c>
      <c r="AG10" s="33">
        <v>1</v>
      </c>
      <c r="AH10" s="33">
        <v>2</v>
      </c>
      <c r="AI10" s="33">
        <v>7</v>
      </c>
      <c r="AJ10" s="33">
        <v>4</v>
      </c>
      <c r="AK10" s="33">
        <v>1</v>
      </c>
      <c r="AL10" s="27">
        <v>4</v>
      </c>
      <c r="AM10" s="27">
        <v>5</v>
      </c>
      <c r="AN10" s="27">
        <v>1</v>
      </c>
      <c r="AO10" s="27">
        <v>2</v>
      </c>
      <c r="AP10" s="27">
        <v>4</v>
      </c>
      <c r="AQ10" s="27">
        <v>6</v>
      </c>
      <c r="AR10" s="27">
        <v>7</v>
      </c>
      <c r="AS10" s="27">
        <v>5</v>
      </c>
      <c r="AT10" s="27">
        <v>2</v>
      </c>
      <c r="AU10" s="27">
        <v>2</v>
      </c>
      <c r="AV10" s="27">
        <v>2</v>
      </c>
      <c r="AW10" s="27">
        <v>3</v>
      </c>
      <c r="AX10" s="27">
        <v>3</v>
      </c>
      <c r="AY10" s="27">
        <v>4</v>
      </c>
      <c r="AZ10" s="27">
        <v>5</v>
      </c>
      <c r="BA10" s="27">
        <v>4</v>
      </c>
      <c r="BB10" s="27">
        <v>4</v>
      </c>
      <c r="BC10" s="27">
        <v>2</v>
      </c>
      <c r="BD10" s="27">
        <v>3</v>
      </c>
      <c r="BE10" s="27">
        <v>4</v>
      </c>
      <c r="BF10" s="27">
        <v>4</v>
      </c>
      <c r="BG10" s="27">
        <v>5</v>
      </c>
      <c r="BH10" s="27">
        <v>2</v>
      </c>
      <c r="BI10" s="27">
        <v>4</v>
      </c>
      <c r="BJ10" s="27">
        <v>3</v>
      </c>
      <c r="BK10" s="27">
        <v>5</v>
      </c>
      <c r="BL10" s="29">
        <v>7</v>
      </c>
      <c r="BM10" s="29">
        <v>7</v>
      </c>
      <c r="BN10" s="29">
        <v>2</v>
      </c>
      <c r="BO10" s="29">
        <v>1</v>
      </c>
      <c r="BP10" s="29">
        <v>2</v>
      </c>
      <c r="BQ10" s="29">
        <v>6</v>
      </c>
      <c r="BR10" s="29">
        <v>6</v>
      </c>
      <c r="BS10" s="29">
        <v>6</v>
      </c>
      <c r="BT10" s="29">
        <v>2</v>
      </c>
      <c r="BU10" s="29">
        <v>3</v>
      </c>
      <c r="BV10" s="29">
        <v>7</v>
      </c>
      <c r="BW10" s="29">
        <v>1</v>
      </c>
      <c r="BX10" s="29">
        <v>7</v>
      </c>
      <c r="BY10" s="29">
        <v>6</v>
      </c>
      <c r="BZ10" s="29">
        <v>2</v>
      </c>
      <c r="CA10" s="29">
        <v>7</v>
      </c>
      <c r="CB10" s="29">
        <v>1</v>
      </c>
      <c r="CC10" s="29">
        <v>2</v>
      </c>
      <c r="CD10" s="29">
        <v>2</v>
      </c>
      <c r="CE10" s="29">
        <v>7</v>
      </c>
      <c r="CF10" s="29">
        <v>1</v>
      </c>
      <c r="CG10" s="29">
        <v>6</v>
      </c>
      <c r="CH10" s="29">
        <v>1</v>
      </c>
      <c r="CI10" s="29">
        <v>1</v>
      </c>
      <c r="CJ10" s="29">
        <v>1</v>
      </c>
      <c r="CK10" s="29">
        <v>5</v>
      </c>
      <c r="CL10" s="7">
        <v>1</v>
      </c>
      <c r="CM10" s="7">
        <v>6</v>
      </c>
      <c r="CN10" s="7">
        <v>7</v>
      </c>
      <c r="CO10" s="7">
        <v>7</v>
      </c>
      <c r="CP10" s="7">
        <v>5</v>
      </c>
      <c r="CQ10" s="7">
        <v>3</v>
      </c>
      <c r="CR10" s="7">
        <v>1</v>
      </c>
      <c r="CS10" s="7">
        <v>3</v>
      </c>
      <c r="CT10" s="19">
        <v>5</v>
      </c>
      <c r="CU10" s="76"/>
      <c r="CV10" s="76"/>
      <c r="CW10" s="76"/>
      <c r="CX10" s="76"/>
      <c r="CY10" s="76"/>
      <c r="CZ10" s="76"/>
      <c r="DA10" s="76"/>
      <c r="DB10" s="76"/>
      <c r="DC10" s="76"/>
      <c r="DD10" s="76"/>
      <c r="DE10" s="76"/>
      <c r="DF10" s="76"/>
      <c r="DG10" s="76"/>
      <c r="DH10" s="76"/>
      <c r="DI10" s="76"/>
      <c r="DJ10" s="76"/>
      <c r="DK10" s="76"/>
      <c r="DL10" s="77"/>
      <c r="DM10" s="77"/>
      <c r="DN10" s="74"/>
      <c r="DO10" s="74"/>
      <c r="DP10" s="74"/>
      <c r="DQ10" s="76"/>
      <c r="DR10" s="76"/>
      <c r="DS10" s="76"/>
      <c r="DT10" s="76"/>
      <c r="DU10" s="78"/>
      <c r="DV10" s="5"/>
    </row>
    <row r="11" spans="1:126">
      <c r="A11" s="5"/>
      <c r="B11" s="74"/>
      <c r="C11" s="74"/>
      <c r="D11" s="74"/>
      <c r="E11" s="74"/>
      <c r="F11" s="5"/>
      <c r="G11" s="5"/>
      <c r="H11" s="5"/>
      <c r="I11" s="5"/>
      <c r="J11" s="5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5">
        <v>36</v>
      </c>
      <c r="V11" s="24" t="s">
        <v>148</v>
      </c>
      <c r="W11" s="8" t="s">
        <v>127</v>
      </c>
      <c r="X11" s="8" t="s">
        <v>125</v>
      </c>
      <c r="Y11" s="79" t="s">
        <v>126</v>
      </c>
      <c r="Z11" s="81">
        <v>6</v>
      </c>
      <c r="AA11" s="31">
        <v>5</v>
      </c>
      <c r="AB11" s="31">
        <v>3</v>
      </c>
      <c r="AC11" s="31">
        <v>6</v>
      </c>
      <c r="AD11" s="31">
        <v>5</v>
      </c>
      <c r="AE11" s="31">
        <v>3</v>
      </c>
      <c r="AF11" s="33">
        <v>5</v>
      </c>
      <c r="AG11" s="33">
        <v>4</v>
      </c>
      <c r="AH11" s="33">
        <v>4</v>
      </c>
      <c r="AI11" s="33">
        <v>6</v>
      </c>
      <c r="AJ11" s="33">
        <v>5</v>
      </c>
      <c r="AK11" s="33">
        <v>5</v>
      </c>
      <c r="AL11" s="27">
        <v>6</v>
      </c>
      <c r="AM11" s="27">
        <v>4</v>
      </c>
      <c r="AN11" s="27">
        <v>2</v>
      </c>
      <c r="AO11" s="27">
        <v>3</v>
      </c>
      <c r="AP11" s="27">
        <v>2</v>
      </c>
      <c r="AQ11" s="27">
        <v>5</v>
      </c>
      <c r="AR11" s="27">
        <v>6</v>
      </c>
      <c r="AS11" s="27">
        <v>5</v>
      </c>
      <c r="AT11" s="27">
        <v>4</v>
      </c>
      <c r="AU11" s="27">
        <v>2</v>
      </c>
      <c r="AV11" s="27">
        <v>5</v>
      </c>
      <c r="AW11" s="27">
        <v>2</v>
      </c>
      <c r="AX11" s="27">
        <v>5</v>
      </c>
      <c r="AY11" s="27">
        <v>5</v>
      </c>
      <c r="AZ11" s="27">
        <v>6</v>
      </c>
      <c r="BA11" s="27">
        <v>5</v>
      </c>
      <c r="BB11" s="27">
        <v>2</v>
      </c>
      <c r="BC11" s="27">
        <v>2</v>
      </c>
      <c r="BD11" s="27">
        <v>3</v>
      </c>
      <c r="BE11" s="27">
        <v>5</v>
      </c>
      <c r="BF11" s="27">
        <v>2</v>
      </c>
      <c r="BG11" s="27">
        <v>6</v>
      </c>
      <c r="BH11" s="27">
        <v>2</v>
      </c>
      <c r="BI11" s="27">
        <v>3</v>
      </c>
      <c r="BJ11" s="27">
        <v>2</v>
      </c>
      <c r="BK11" s="27">
        <v>6</v>
      </c>
      <c r="BL11" s="29">
        <v>6</v>
      </c>
      <c r="BM11" s="29">
        <v>5</v>
      </c>
      <c r="BN11" s="29">
        <v>3</v>
      </c>
      <c r="BO11" s="29">
        <v>2</v>
      </c>
      <c r="BP11" s="29">
        <v>1</v>
      </c>
      <c r="BQ11" s="29">
        <v>6</v>
      </c>
      <c r="BR11" s="29">
        <v>6</v>
      </c>
      <c r="BS11" s="29">
        <v>5</v>
      </c>
      <c r="BT11" s="29">
        <v>2</v>
      </c>
      <c r="BU11" s="29">
        <v>3</v>
      </c>
      <c r="BV11" s="29">
        <v>6</v>
      </c>
      <c r="BW11" s="29">
        <v>2</v>
      </c>
      <c r="BX11" s="29">
        <v>5</v>
      </c>
      <c r="BY11" s="29">
        <v>6</v>
      </c>
      <c r="BZ11" s="29">
        <v>5</v>
      </c>
      <c r="CA11" s="29">
        <v>5</v>
      </c>
      <c r="CB11" s="29">
        <v>2</v>
      </c>
      <c r="CC11" s="29">
        <v>2</v>
      </c>
      <c r="CD11" s="29">
        <v>3</v>
      </c>
      <c r="CE11" s="29">
        <v>6</v>
      </c>
      <c r="CF11" s="29">
        <v>2</v>
      </c>
      <c r="CG11" s="29">
        <v>6</v>
      </c>
      <c r="CH11" s="29">
        <v>2</v>
      </c>
      <c r="CI11" s="29">
        <v>2</v>
      </c>
      <c r="CJ11" s="29">
        <v>2</v>
      </c>
      <c r="CK11" s="29">
        <v>5</v>
      </c>
      <c r="CL11" s="7">
        <v>4</v>
      </c>
      <c r="CM11" s="7">
        <v>6</v>
      </c>
      <c r="CN11" s="7">
        <v>5</v>
      </c>
      <c r="CO11" s="7">
        <v>7</v>
      </c>
      <c r="CP11" s="7">
        <v>7</v>
      </c>
      <c r="CQ11" s="7">
        <v>5</v>
      </c>
      <c r="CR11" s="7">
        <v>2</v>
      </c>
      <c r="CS11" s="7">
        <v>5</v>
      </c>
      <c r="CT11" s="19">
        <v>2</v>
      </c>
      <c r="CU11" s="76"/>
      <c r="CV11" s="76"/>
      <c r="CW11" s="76"/>
      <c r="CX11" s="76"/>
      <c r="CY11" s="76"/>
      <c r="CZ11" s="76"/>
      <c r="DA11" s="76"/>
      <c r="DB11" s="76"/>
      <c r="DC11" s="76"/>
      <c r="DD11" s="76"/>
      <c r="DE11" s="76"/>
      <c r="DF11" s="76"/>
      <c r="DG11" s="76"/>
      <c r="DH11" s="76"/>
      <c r="DI11" s="76"/>
      <c r="DJ11" s="76"/>
      <c r="DK11" s="76"/>
      <c r="DL11" s="77"/>
      <c r="DM11" s="77"/>
      <c r="DN11" s="74"/>
      <c r="DO11" s="74"/>
      <c r="DP11" s="74"/>
      <c r="DQ11" s="76"/>
      <c r="DR11" s="76"/>
      <c r="DS11" s="76"/>
      <c r="DT11" s="76"/>
      <c r="DU11" s="78"/>
      <c r="DV11" s="5"/>
    </row>
    <row r="12" spans="1:126">
      <c r="A12" s="5"/>
      <c r="B12" s="74"/>
      <c r="C12" s="74"/>
      <c r="D12" s="74"/>
      <c r="E12" s="74"/>
      <c r="F12" s="5"/>
      <c r="G12" s="5"/>
      <c r="H12" s="5"/>
      <c r="I12" s="5"/>
      <c r="J12" s="5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5">
        <v>37</v>
      </c>
      <c r="V12" s="24" t="s">
        <v>153</v>
      </c>
      <c r="W12" s="8" t="s">
        <v>122</v>
      </c>
      <c r="X12" s="8" t="s">
        <v>125</v>
      </c>
      <c r="Y12" s="79" t="s">
        <v>134</v>
      </c>
      <c r="Z12" s="81">
        <v>3</v>
      </c>
      <c r="AA12" s="31">
        <v>2</v>
      </c>
      <c r="AB12" s="31">
        <v>2</v>
      </c>
      <c r="AC12" s="31">
        <v>5</v>
      </c>
      <c r="AD12" s="31">
        <v>4</v>
      </c>
      <c r="AE12" s="31">
        <v>4</v>
      </c>
      <c r="AF12" s="33">
        <v>5</v>
      </c>
      <c r="AG12" s="33">
        <v>5</v>
      </c>
      <c r="AH12" s="33">
        <v>3</v>
      </c>
      <c r="AI12" s="33">
        <v>5</v>
      </c>
      <c r="AJ12" s="33">
        <v>5</v>
      </c>
      <c r="AK12" s="33">
        <v>5</v>
      </c>
      <c r="AL12" s="27">
        <v>5</v>
      </c>
      <c r="AM12" s="27">
        <v>6</v>
      </c>
      <c r="AN12" s="27">
        <v>4</v>
      </c>
      <c r="AO12" s="27">
        <v>3</v>
      </c>
      <c r="AP12" s="27">
        <v>2</v>
      </c>
      <c r="AQ12" s="27">
        <v>6</v>
      </c>
      <c r="AR12" s="27">
        <v>6</v>
      </c>
      <c r="AS12" s="27">
        <v>6</v>
      </c>
      <c r="AT12" s="27">
        <v>3</v>
      </c>
      <c r="AU12" s="27">
        <v>2</v>
      </c>
      <c r="AV12" s="27">
        <v>6</v>
      </c>
      <c r="AW12" s="27">
        <v>2</v>
      </c>
      <c r="AX12" s="27">
        <v>3</v>
      </c>
      <c r="AY12" s="27">
        <v>5</v>
      </c>
      <c r="AZ12" s="27">
        <v>5</v>
      </c>
      <c r="BA12" s="27">
        <v>5</v>
      </c>
      <c r="BB12" s="27">
        <v>2</v>
      </c>
      <c r="BC12" s="27">
        <v>2</v>
      </c>
      <c r="BD12" s="27">
        <v>2</v>
      </c>
      <c r="BE12" s="27">
        <v>6</v>
      </c>
      <c r="BF12" s="27">
        <v>3</v>
      </c>
      <c r="BG12" s="27">
        <v>6</v>
      </c>
      <c r="BH12" s="27">
        <v>4</v>
      </c>
      <c r="BI12" s="27">
        <v>3</v>
      </c>
      <c r="BJ12" s="27">
        <v>4</v>
      </c>
      <c r="BK12" s="27">
        <v>5</v>
      </c>
      <c r="BL12" s="29">
        <v>4</v>
      </c>
      <c r="BM12" s="29">
        <v>7</v>
      </c>
      <c r="BN12" s="29">
        <v>2</v>
      </c>
      <c r="BO12" s="29">
        <v>3</v>
      </c>
      <c r="BP12" s="29">
        <v>2</v>
      </c>
      <c r="BQ12" s="29">
        <v>5</v>
      </c>
      <c r="BR12" s="29">
        <v>5</v>
      </c>
      <c r="BS12" s="29">
        <v>5</v>
      </c>
      <c r="BT12" s="29">
        <v>5</v>
      </c>
      <c r="BU12" s="29">
        <v>1</v>
      </c>
      <c r="BV12" s="29">
        <v>5</v>
      </c>
      <c r="BW12" s="29">
        <v>2</v>
      </c>
      <c r="BX12" s="29">
        <v>5</v>
      </c>
      <c r="BY12" s="29">
        <v>4</v>
      </c>
      <c r="BZ12" s="29">
        <v>6</v>
      </c>
      <c r="CA12" s="29">
        <v>5</v>
      </c>
      <c r="CB12" s="29">
        <v>2</v>
      </c>
      <c r="CC12" s="29">
        <v>2</v>
      </c>
      <c r="CD12" s="29">
        <v>3</v>
      </c>
      <c r="CE12" s="29">
        <v>5</v>
      </c>
      <c r="CF12" s="29">
        <v>2</v>
      </c>
      <c r="CG12" s="29">
        <v>6</v>
      </c>
      <c r="CH12" s="29">
        <v>2</v>
      </c>
      <c r="CI12" s="29">
        <v>3</v>
      </c>
      <c r="CJ12" s="29">
        <v>3</v>
      </c>
      <c r="CK12" s="29">
        <v>6</v>
      </c>
      <c r="CL12" s="7">
        <v>1</v>
      </c>
      <c r="CM12" s="7">
        <v>7</v>
      </c>
      <c r="CN12" s="7">
        <v>6</v>
      </c>
      <c r="CO12" s="7">
        <v>7</v>
      </c>
      <c r="CP12" s="7">
        <v>5</v>
      </c>
      <c r="CQ12" s="7">
        <v>5</v>
      </c>
      <c r="CR12" s="7">
        <v>4</v>
      </c>
      <c r="CS12" s="7">
        <v>6</v>
      </c>
      <c r="CT12" s="19">
        <v>6</v>
      </c>
      <c r="CU12" s="76"/>
      <c r="CV12" s="76"/>
      <c r="CW12" s="76"/>
      <c r="CX12" s="76"/>
      <c r="CY12" s="76"/>
      <c r="CZ12" s="76"/>
      <c r="DA12" s="76"/>
      <c r="DB12" s="76"/>
      <c r="DC12" s="76"/>
      <c r="DD12" s="76"/>
      <c r="DE12" s="76"/>
      <c r="DF12" s="76"/>
      <c r="DG12" s="76"/>
      <c r="DH12" s="76"/>
      <c r="DI12" s="76"/>
      <c r="DJ12" s="76"/>
      <c r="DK12" s="76"/>
      <c r="DL12" s="77"/>
      <c r="DM12" s="77"/>
      <c r="DN12" s="74"/>
      <c r="DO12" s="74"/>
      <c r="DP12" s="74"/>
      <c r="DQ12" s="76"/>
      <c r="DR12" s="76"/>
      <c r="DS12" s="76"/>
      <c r="DT12" s="76"/>
      <c r="DU12" s="78"/>
      <c r="DV12" s="5"/>
    </row>
    <row r="13" spans="1:126">
      <c r="A13" s="5"/>
      <c r="B13" s="74"/>
      <c r="C13" s="74"/>
      <c r="D13" s="74"/>
      <c r="E13" s="74"/>
      <c r="F13" s="5"/>
      <c r="G13" s="5"/>
      <c r="H13" s="5"/>
      <c r="I13" s="5"/>
      <c r="J13" s="5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5">
        <v>39</v>
      </c>
      <c r="V13" s="24" t="s">
        <v>153</v>
      </c>
      <c r="W13" s="8" t="s">
        <v>127</v>
      </c>
      <c r="X13" s="8" t="s">
        <v>125</v>
      </c>
      <c r="Y13" s="79" t="s">
        <v>126</v>
      </c>
      <c r="Z13" s="81">
        <v>3</v>
      </c>
      <c r="AA13" s="31">
        <v>3</v>
      </c>
      <c r="AB13" s="31">
        <v>1</v>
      </c>
      <c r="AC13" s="31">
        <v>3</v>
      </c>
      <c r="AD13" s="31">
        <v>5</v>
      </c>
      <c r="AE13" s="31">
        <v>3</v>
      </c>
      <c r="AF13" s="33">
        <v>2</v>
      </c>
      <c r="AG13" s="33">
        <v>2</v>
      </c>
      <c r="AH13" s="33">
        <v>1</v>
      </c>
      <c r="AI13" s="33">
        <v>3</v>
      </c>
      <c r="AJ13" s="33">
        <v>5</v>
      </c>
      <c r="AK13" s="33">
        <v>4</v>
      </c>
      <c r="AL13" s="27">
        <v>5</v>
      </c>
      <c r="AM13" s="27">
        <v>7</v>
      </c>
      <c r="AN13" s="27">
        <v>1</v>
      </c>
      <c r="AO13" s="27">
        <v>2</v>
      </c>
      <c r="AP13" s="27">
        <v>2</v>
      </c>
      <c r="AQ13" s="27">
        <v>6</v>
      </c>
      <c r="AR13" s="27">
        <v>5</v>
      </c>
      <c r="AS13" s="27">
        <v>3</v>
      </c>
      <c r="AT13" s="27">
        <v>2</v>
      </c>
      <c r="AU13" s="27">
        <v>3</v>
      </c>
      <c r="AV13" s="27">
        <v>6</v>
      </c>
      <c r="AW13" s="27">
        <v>1</v>
      </c>
      <c r="AX13" s="27">
        <v>6</v>
      </c>
      <c r="AY13" s="27">
        <v>6</v>
      </c>
      <c r="AZ13" s="27">
        <v>4</v>
      </c>
      <c r="BA13" s="27">
        <v>7</v>
      </c>
      <c r="BB13" s="27">
        <v>2</v>
      </c>
      <c r="BC13" s="27">
        <v>1</v>
      </c>
      <c r="BD13" s="27">
        <v>3</v>
      </c>
      <c r="BE13" s="27">
        <v>7</v>
      </c>
      <c r="BF13" s="27">
        <v>2</v>
      </c>
      <c r="BG13" s="27">
        <v>6</v>
      </c>
      <c r="BH13" s="27">
        <v>2</v>
      </c>
      <c r="BI13" s="27">
        <v>2</v>
      </c>
      <c r="BJ13" s="27">
        <v>2</v>
      </c>
      <c r="BK13" s="27">
        <v>6</v>
      </c>
      <c r="BL13" s="29">
        <v>1</v>
      </c>
      <c r="BM13" s="29">
        <v>7</v>
      </c>
      <c r="BN13" s="29">
        <v>2</v>
      </c>
      <c r="BO13" s="29">
        <v>2</v>
      </c>
      <c r="BP13" s="29">
        <v>2</v>
      </c>
      <c r="BQ13" s="29">
        <v>6</v>
      </c>
      <c r="BR13" s="29">
        <v>6</v>
      </c>
      <c r="BS13" s="29">
        <v>3</v>
      </c>
      <c r="BT13" s="29">
        <v>2</v>
      </c>
      <c r="BU13" s="29">
        <v>3</v>
      </c>
      <c r="BV13" s="29">
        <v>6</v>
      </c>
      <c r="BW13" s="29">
        <v>1</v>
      </c>
      <c r="BX13" s="29">
        <v>6</v>
      </c>
      <c r="BY13" s="29">
        <v>6</v>
      </c>
      <c r="BZ13" s="29">
        <v>5</v>
      </c>
      <c r="CA13" s="29">
        <v>7</v>
      </c>
      <c r="CB13" s="29">
        <v>3</v>
      </c>
      <c r="CC13" s="29">
        <v>1</v>
      </c>
      <c r="CD13" s="29">
        <v>2</v>
      </c>
      <c r="CE13" s="29">
        <v>7</v>
      </c>
      <c r="CF13" s="29">
        <v>1</v>
      </c>
      <c r="CG13" s="29">
        <v>7</v>
      </c>
      <c r="CH13" s="29">
        <v>2</v>
      </c>
      <c r="CI13" s="29">
        <v>2</v>
      </c>
      <c r="CJ13" s="29">
        <v>2</v>
      </c>
      <c r="CK13" s="29">
        <v>6</v>
      </c>
      <c r="CL13" s="7">
        <v>2</v>
      </c>
      <c r="CM13" s="7">
        <v>7</v>
      </c>
      <c r="CN13" s="7">
        <v>7</v>
      </c>
      <c r="CO13" s="7">
        <v>7</v>
      </c>
      <c r="CP13" s="7">
        <v>7</v>
      </c>
      <c r="CQ13" s="7">
        <v>6</v>
      </c>
      <c r="CR13" s="7">
        <v>2</v>
      </c>
      <c r="CS13" s="7">
        <v>6</v>
      </c>
      <c r="CT13" s="19">
        <v>5</v>
      </c>
      <c r="CU13" s="76"/>
      <c r="CV13" s="76"/>
      <c r="CW13" s="76"/>
      <c r="CX13" s="76"/>
      <c r="CY13" s="76"/>
      <c r="CZ13" s="76"/>
      <c r="DA13" s="76"/>
      <c r="DB13" s="76"/>
      <c r="DC13" s="76"/>
      <c r="DD13" s="76"/>
      <c r="DE13" s="76"/>
      <c r="DF13" s="76"/>
      <c r="DG13" s="76"/>
      <c r="DH13" s="76"/>
      <c r="DI13" s="76"/>
      <c r="DJ13" s="76"/>
      <c r="DK13" s="76"/>
      <c r="DL13" s="77"/>
      <c r="DM13" s="77"/>
      <c r="DN13" s="74"/>
      <c r="DO13" s="74"/>
      <c r="DP13" s="74"/>
      <c r="DQ13" s="76"/>
      <c r="DR13" s="76"/>
      <c r="DS13" s="76"/>
      <c r="DT13" s="76"/>
      <c r="DU13" s="78"/>
      <c r="DV13" s="5"/>
    </row>
    <row r="14" spans="1:126">
      <c r="A14" s="5"/>
      <c r="B14" s="74"/>
      <c r="C14" s="74"/>
      <c r="D14" s="74"/>
      <c r="E14" s="74"/>
      <c r="F14" s="5"/>
      <c r="G14" s="5"/>
      <c r="H14" s="5"/>
      <c r="I14" s="5"/>
      <c r="J14" s="5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5">
        <v>40</v>
      </c>
      <c r="V14" s="24" t="s">
        <v>152</v>
      </c>
      <c r="W14" s="8" t="s">
        <v>127</v>
      </c>
      <c r="X14" s="8" t="s">
        <v>125</v>
      </c>
      <c r="Y14" s="79" t="s">
        <v>135</v>
      </c>
      <c r="Z14" s="81">
        <v>2</v>
      </c>
      <c r="AA14" s="31">
        <v>2</v>
      </c>
      <c r="AB14" s="31">
        <v>3</v>
      </c>
      <c r="AC14" s="31">
        <v>3</v>
      </c>
      <c r="AD14" s="31">
        <v>5</v>
      </c>
      <c r="AE14" s="31">
        <v>2</v>
      </c>
      <c r="AF14" s="33">
        <v>3</v>
      </c>
      <c r="AG14" s="33">
        <v>5</v>
      </c>
      <c r="AH14" s="33">
        <v>2</v>
      </c>
      <c r="AI14" s="33">
        <v>5</v>
      </c>
      <c r="AJ14" s="33">
        <v>5</v>
      </c>
      <c r="AK14" s="33">
        <v>2</v>
      </c>
      <c r="AL14" s="27">
        <v>6</v>
      </c>
      <c r="AM14" s="27">
        <v>6</v>
      </c>
      <c r="AN14" s="27">
        <v>1</v>
      </c>
      <c r="AO14" s="27">
        <v>2</v>
      </c>
      <c r="AP14" s="27">
        <v>2</v>
      </c>
      <c r="AQ14" s="27">
        <v>5</v>
      </c>
      <c r="AR14" s="27">
        <v>7</v>
      </c>
      <c r="AS14" s="27">
        <v>6</v>
      </c>
      <c r="AT14" s="27">
        <v>3</v>
      </c>
      <c r="AU14" s="27">
        <v>2</v>
      </c>
      <c r="AV14" s="27">
        <v>6</v>
      </c>
      <c r="AW14" s="27">
        <v>2</v>
      </c>
      <c r="AX14" s="27">
        <v>6</v>
      </c>
      <c r="AY14" s="27">
        <v>6</v>
      </c>
      <c r="AZ14" s="27">
        <v>6</v>
      </c>
      <c r="BA14" s="27">
        <v>6</v>
      </c>
      <c r="BB14" s="27">
        <v>2</v>
      </c>
      <c r="BC14" s="27">
        <v>1</v>
      </c>
      <c r="BD14" s="27">
        <v>2</v>
      </c>
      <c r="BE14" s="27">
        <v>6</v>
      </c>
      <c r="BF14" s="27">
        <v>2</v>
      </c>
      <c r="BG14" s="27">
        <v>4</v>
      </c>
      <c r="BH14" s="27">
        <v>2</v>
      </c>
      <c r="BI14" s="27">
        <v>2</v>
      </c>
      <c r="BJ14" s="27">
        <v>2</v>
      </c>
      <c r="BK14" s="27">
        <v>6</v>
      </c>
      <c r="BL14" s="29">
        <v>5</v>
      </c>
      <c r="BM14" s="29">
        <v>7</v>
      </c>
      <c r="BN14" s="29">
        <v>2</v>
      </c>
      <c r="BO14" s="29">
        <v>2</v>
      </c>
      <c r="BP14" s="29">
        <v>3</v>
      </c>
      <c r="BQ14" s="29">
        <v>6</v>
      </c>
      <c r="BR14" s="29">
        <v>6</v>
      </c>
      <c r="BS14" s="29">
        <v>5</v>
      </c>
      <c r="BT14" s="29">
        <v>2</v>
      </c>
      <c r="BU14" s="29">
        <v>3</v>
      </c>
      <c r="BV14" s="29">
        <v>6</v>
      </c>
      <c r="BW14" s="29">
        <v>2</v>
      </c>
      <c r="BX14" s="29">
        <v>6</v>
      </c>
      <c r="BY14" s="29">
        <v>6</v>
      </c>
      <c r="BZ14" s="29">
        <v>4</v>
      </c>
      <c r="CA14" s="29">
        <v>6</v>
      </c>
      <c r="CB14" s="29">
        <v>2</v>
      </c>
      <c r="CC14" s="29">
        <v>3</v>
      </c>
      <c r="CD14" s="29">
        <v>2</v>
      </c>
      <c r="CE14" s="29">
        <v>6</v>
      </c>
      <c r="CF14" s="29">
        <v>2</v>
      </c>
      <c r="CG14" s="29">
        <v>4</v>
      </c>
      <c r="CH14" s="29">
        <v>3</v>
      </c>
      <c r="CI14" s="29">
        <v>3</v>
      </c>
      <c r="CJ14" s="29">
        <v>2</v>
      </c>
      <c r="CK14" s="29">
        <v>5</v>
      </c>
      <c r="CL14" s="7">
        <v>5</v>
      </c>
      <c r="CM14" s="7">
        <v>7</v>
      </c>
      <c r="CN14" s="7">
        <v>7</v>
      </c>
      <c r="CO14" s="7">
        <v>6</v>
      </c>
      <c r="CP14" s="7">
        <v>7</v>
      </c>
      <c r="CQ14" s="7">
        <v>5</v>
      </c>
      <c r="CR14" s="7">
        <v>3</v>
      </c>
      <c r="CS14" s="7">
        <v>5</v>
      </c>
      <c r="CT14" s="19">
        <v>6</v>
      </c>
      <c r="CU14" s="76"/>
      <c r="CV14" s="76"/>
      <c r="CW14" s="76"/>
      <c r="CX14" s="76"/>
      <c r="CY14" s="76"/>
      <c r="CZ14" s="76"/>
      <c r="DA14" s="76"/>
      <c r="DB14" s="76"/>
      <c r="DC14" s="76"/>
      <c r="DD14" s="76"/>
      <c r="DE14" s="76"/>
      <c r="DF14" s="76"/>
      <c r="DG14" s="76"/>
      <c r="DH14" s="76"/>
      <c r="DI14" s="76"/>
      <c r="DJ14" s="76"/>
      <c r="DK14" s="76"/>
      <c r="DL14" s="77"/>
      <c r="DM14" s="77"/>
      <c r="DN14" s="74"/>
      <c r="DO14" s="74"/>
      <c r="DP14" s="74"/>
      <c r="DQ14" s="76"/>
      <c r="DR14" s="76"/>
      <c r="DS14" s="76"/>
      <c r="DT14" s="76"/>
      <c r="DU14" s="78"/>
      <c r="DV14" s="5"/>
    </row>
    <row r="15" spans="1:126">
      <c r="A15" s="5"/>
      <c r="B15" s="74"/>
      <c r="C15" s="74"/>
      <c r="D15" s="74"/>
      <c r="E15" s="74"/>
      <c r="F15" s="5"/>
      <c r="G15" s="5"/>
      <c r="H15" s="5"/>
      <c r="I15" s="5"/>
      <c r="J15" s="5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5">
        <v>44</v>
      </c>
      <c r="V15" s="24" t="s">
        <v>153</v>
      </c>
      <c r="W15" s="8" t="s">
        <v>122</v>
      </c>
      <c r="X15" s="8" t="s">
        <v>125</v>
      </c>
      <c r="Y15" s="79" t="s">
        <v>136</v>
      </c>
      <c r="Z15" s="81">
        <v>3</v>
      </c>
      <c r="AA15" s="31">
        <v>2</v>
      </c>
      <c r="AB15" s="31">
        <v>4</v>
      </c>
      <c r="AC15" s="31">
        <v>6</v>
      </c>
      <c r="AD15" s="31">
        <v>3</v>
      </c>
      <c r="AE15" s="31">
        <v>2</v>
      </c>
      <c r="AF15" s="33">
        <v>6</v>
      </c>
      <c r="AG15" s="33">
        <v>2</v>
      </c>
      <c r="AH15" s="33">
        <v>4</v>
      </c>
      <c r="AI15" s="33">
        <v>3</v>
      </c>
      <c r="AJ15" s="33">
        <v>3</v>
      </c>
      <c r="AK15" s="33">
        <v>4</v>
      </c>
      <c r="AL15" s="27">
        <v>6</v>
      </c>
      <c r="AM15" s="27">
        <v>7</v>
      </c>
      <c r="AN15" s="27">
        <v>2</v>
      </c>
      <c r="AO15" s="27">
        <v>3</v>
      </c>
      <c r="AP15" s="27">
        <v>2</v>
      </c>
      <c r="AQ15" s="27">
        <v>5</v>
      </c>
      <c r="AR15" s="27">
        <v>5</v>
      </c>
      <c r="AS15" s="27">
        <v>6</v>
      </c>
      <c r="AT15" s="27">
        <v>2</v>
      </c>
      <c r="AU15" s="27">
        <v>3</v>
      </c>
      <c r="AV15" s="27">
        <v>6</v>
      </c>
      <c r="AW15" s="27">
        <v>1</v>
      </c>
      <c r="AX15" s="27">
        <v>6</v>
      </c>
      <c r="AY15" s="27">
        <v>5</v>
      </c>
      <c r="AZ15" s="27">
        <v>6</v>
      </c>
      <c r="BA15" s="27">
        <v>5</v>
      </c>
      <c r="BB15" s="27">
        <v>4</v>
      </c>
      <c r="BC15" s="27">
        <v>2</v>
      </c>
      <c r="BD15" s="27">
        <v>1</v>
      </c>
      <c r="BE15" s="27">
        <v>6</v>
      </c>
      <c r="BF15" s="27">
        <v>2</v>
      </c>
      <c r="BG15" s="27">
        <v>6</v>
      </c>
      <c r="BH15" s="27">
        <v>2</v>
      </c>
      <c r="BI15" s="27">
        <v>3</v>
      </c>
      <c r="BJ15" s="27">
        <v>1</v>
      </c>
      <c r="BK15" s="27">
        <v>6</v>
      </c>
      <c r="BL15" s="29">
        <v>4</v>
      </c>
      <c r="BM15" s="29">
        <v>6</v>
      </c>
      <c r="BN15" s="29">
        <v>2</v>
      </c>
      <c r="BO15" s="29">
        <v>4</v>
      </c>
      <c r="BP15" s="29">
        <v>3</v>
      </c>
      <c r="BQ15" s="29">
        <v>6</v>
      </c>
      <c r="BR15" s="29">
        <v>5</v>
      </c>
      <c r="BS15" s="29">
        <v>6</v>
      </c>
      <c r="BT15" s="29">
        <v>2</v>
      </c>
      <c r="BU15" s="29">
        <v>3</v>
      </c>
      <c r="BV15" s="29">
        <v>5</v>
      </c>
      <c r="BW15" s="29">
        <v>4</v>
      </c>
      <c r="BX15" s="29">
        <v>2</v>
      </c>
      <c r="BY15" s="29">
        <v>6</v>
      </c>
      <c r="BZ15" s="29">
        <v>5</v>
      </c>
      <c r="CA15" s="29">
        <v>5</v>
      </c>
      <c r="CB15" s="29">
        <v>3</v>
      </c>
      <c r="CC15" s="29">
        <v>3</v>
      </c>
      <c r="CD15" s="29">
        <v>2</v>
      </c>
      <c r="CE15" s="29">
        <v>6</v>
      </c>
      <c r="CF15" s="29">
        <v>5</v>
      </c>
      <c r="CG15" s="29">
        <v>5</v>
      </c>
      <c r="CH15" s="29">
        <v>3</v>
      </c>
      <c r="CI15" s="29">
        <v>3</v>
      </c>
      <c r="CJ15" s="29">
        <v>2</v>
      </c>
      <c r="CK15" s="29">
        <v>5</v>
      </c>
      <c r="CL15" s="7">
        <v>6</v>
      </c>
      <c r="CM15" s="7">
        <v>6</v>
      </c>
      <c r="CN15" s="7">
        <v>7</v>
      </c>
      <c r="CO15" s="7">
        <v>6</v>
      </c>
      <c r="CP15" s="7">
        <v>3</v>
      </c>
      <c r="CQ15" s="7">
        <v>5</v>
      </c>
      <c r="CR15" s="7">
        <v>3</v>
      </c>
      <c r="CS15" s="7">
        <v>5</v>
      </c>
      <c r="CT15" s="19">
        <v>5</v>
      </c>
      <c r="CU15" s="76"/>
      <c r="CV15" s="76"/>
      <c r="CW15" s="76"/>
      <c r="CX15" s="76"/>
      <c r="CY15" s="76"/>
      <c r="CZ15" s="76"/>
      <c r="DA15" s="76"/>
      <c r="DB15" s="76"/>
      <c r="DC15" s="76"/>
      <c r="DD15" s="76"/>
      <c r="DE15" s="76"/>
      <c r="DF15" s="76"/>
      <c r="DG15" s="76"/>
      <c r="DH15" s="76"/>
      <c r="DI15" s="76"/>
      <c r="DJ15" s="76"/>
      <c r="DK15" s="76"/>
      <c r="DL15" s="77"/>
      <c r="DM15" s="77"/>
      <c r="DN15" s="74"/>
      <c r="DO15" s="74"/>
      <c r="DP15" s="74"/>
      <c r="DQ15" s="76"/>
      <c r="DR15" s="76"/>
      <c r="DS15" s="76"/>
      <c r="DT15" s="76"/>
      <c r="DU15" s="78"/>
      <c r="DV15" s="5"/>
    </row>
    <row r="16" spans="1:126">
      <c r="A16" s="5"/>
      <c r="B16" s="74"/>
      <c r="C16" s="74"/>
      <c r="D16" s="74"/>
      <c r="E16" s="74"/>
      <c r="F16" s="5"/>
      <c r="G16" s="5"/>
      <c r="H16" s="5"/>
      <c r="I16" s="5"/>
      <c r="J16" s="5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5">
        <v>47</v>
      </c>
      <c r="V16" s="24" t="s">
        <v>154</v>
      </c>
      <c r="W16" s="8" t="s">
        <v>122</v>
      </c>
      <c r="X16" s="8" t="s">
        <v>125</v>
      </c>
      <c r="Y16" s="79" t="s">
        <v>126</v>
      </c>
      <c r="Z16" s="81">
        <v>3</v>
      </c>
      <c r="AA16" s="31">
        <v>2</v>
      </c>
      <c r="AB16" s="31">
        <v>3</v>
      </c>
      <c r="AC16" s="31">
        <v>5</v>
      </c>
      <c r="AD16" s="31">
        <v>3</v>
      </c>
      <c r="AE16" s="31">
        <v>4</v>
      </c>
      <c r="AF16" s="33">
        <v>2</v>
      </c>
      <c r="AG16" s="33">
        <v>2</v>
      </c>
      <c r="AH16" s="33">
        <v>2</v>
      </c>
      <c r="AI16" s="33">
        <v>7</v>
      </c>
      <c r="AJ16" s="33">
        <v>2</v>
      </c>
      <c r="AK16" s="33">
        <v>4</v>
      </c>
      <c r="AL16" s="27">
        <v>4</v>
      </c>
      <c r="AM16" s="27">
        <v>5</v>
      </c>
      <c r="AN16" s="27">
        <v>3</v>
      </c>
      <c r="AO16" s="27">
        <v>3</v>
      </c>
      <c r="AP16" s="27">
        <v>4</v>
      </c>
      <c r="AQ16" s="27">
        <v>4</v>
      </c>
      <c r="AR16" s="27">
        <v>5</v>
      </c>
      <c r="AS16" s="27">
        <v>3</v>
      </c>
      <c r="AT16" s="27">
        <v>3</v>
      </c>
      <c r="AU16" s="27">
        <v>3</v>
      </c>
      <c r="AV16" s="27">
        <v>5</v>
      </c>
      <c r="AW16" s="27">
        <v>3</v>
      </c>
      <c r="AX16" s="27">
        <v>5</v>
      </c>
      <c r="AY16" s="27">
        <v>5</v>
      </c>
      <c r="AZ16" s="27">
        <v>4</v>
      </c>
      <c r="BA16" s="27">
        <v>5</v>
      </c>
      <c r="BB16" s="27">
        <v>4</v>
      </c>
      <c r="BC16" s="27">
        <v>3</v>
      </c>
      <c r="BD16" s="27">
        <v>3</v>
      </c>
      <c r="BE16" s="27">
        <v>3</v>
      </c>
      <c r="BF16" s="27">
        <v>3</v>
      </c>
      <c r="BG16" s="27">
        <v>4</v>
      </c>
      <c r="BH16" s="27">
        <v>3</v>
      </c>
      <c r="BI16" s="27">
        <v>3</v>
      </c>
      <c r="BJ16" s="27">
        <v>4</v>
      </c>
      <c r="BK16" s="27">
        <v>3</v>
      </c>
      <c r="BL16" s="29">
        <v>6</v>
      </c>
      <c r="BM16" s="29">
        <v>7</v>
      </c>
      <c r="BN16" s="29">
        <v>6</v>
      </c>
      <c r="BO16" s="29">
        <v>2</v>
      </c>
      <c r="BP16" s="29">
        <v>3</v>
      </c>
      <c r="BQ16" s="29">
        <v>5</v>
      </c>
      <c r="BR16" s="29">
        <v>6</v>
      </c>
      <c r="BS16" s="29">
        <v>4</v>
      </c>
      <c r="BT16" s="29">
        <v>2</v>
      </c>
      <c r="BU16" s="29">
        <v>3</v>
      </c>
      <c r="BV16" s="29">
        <v>5</v>
      </c>
      <c r="BW16" s="29">
        <v>2</v>
      </c>
      <c r="BX16" s="29">
        <v>7</v>
      </c>
      <c r="BY16" s="29">
        <v>5</v>
      </c>
      <c r="BZ16" s="29">
        <v>5</v>
      </c>
      <c r="CA16" s="29">
        <v>6</v>
      </c>
      <c r="CB16" s="29">
        <v>3</v>
      </c>
      <c r="CC16" s="29">
        <v>3</v>
      </c>
      <c r="CD16" s="29">
        <v>3</v>
      </c>
      <c r="CE16" s="29">
        <v>6</v>
      </c>
      <c r="CF16" s="29">
        <v>3</v>
      </c>
      <c r="CG16" s="29">
        <v>5</v>
      </c>
      <c r="CH16" s="29">
        <v>3</v>
      </c>
      <c r="CI16" s="29">
        <v>3</v>
      </c>
      <c r="CJ16" s="29">
        <v>2</v>
      </c>
      <c r="CK16" s="29">
        <v>5</v>
      </c>
      <c r="CL16" s="7">
        <v>4</v>
      </c>
      <c r="CM16" s="7">
        <v>3</v>
      </c>
      <c r="CN16" s="7">
        <v>7</v>
      </c>
      <c r="CO16" s="7">
        <v>6</v>
      </c>
      <c r="CP16" s="7">
        <v>7</v>
      </c>
      <c r="CQ16" s="7">
        <v>2</v>
      </c>
      <c r="CR16" s="7">
        <v>5</v>
      </c>
      <c r="CS16" s="7">
        <v>5</v>
      </c>
      <c r="CT16" s="19">
        <v>6</v>
      </c>
      <c r="CU16" s="76"/>
      <c r="CV16" s="76"/>
      <c r="CW16" s="76"/>
      <c r="CX16" s="76"/>
      <c r="CY16" s="76"/>
      <c r="CZ16" s="76"/>
      <c r="DA16" s="76"/>
      <c r="DB16" s="76"/>
      <c r="DC16" s="76"/>
      <c r="DD16" s="76"/>
      <c r="DE16" s="76"/>
      <c r="DF16" s="76"/>
      <c r="DG16" s="76"/>
      <c r="DH16" s="76"/>
      <c r="DI16" s="76"/>
      <c r="DJ16" s="76"/>
      <c r="DK16" s="76"/>
      <c r="DL16" s="77"/>
      <c r="DM16" s="77"/>
      <c r="DN16" s="74"/>
      <c r="DO16" s="74"/>
      <c r="DP16" s="74"/>
      <c r="DQ16" s="76"/>
      <c r="DR16" s="76"/>
      <c r="DS16" s="76"/>
      <c r="DT16" s="76"/>
      <c r="DU16" s="78"/>
      <c r="DV16" s="5"/>
    </row>
    <row r="17" spans="1:126">
      <c r="A17" s="5"/>
      <c r="B17" s="74"/>
      <c r="C17" s="74"/>
      <c r="D17" s="74"/>
      <c r="E17" s="74"/>
      <c r="F17" s="5"/>
      <c r="G17" s="5"/>
      <c r="H17" s="5"/>
      <c r="I17" s="5"/>
      <c r="J17" s="5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5">
        <v>49</v>
      </c>
      <c r="V17" s="24" t="s">
        <v>154</v>
      </c>
      <c r="W17" s="8" t="s">
        <v>122</v>
      </c>
      <c r="X17" s="8" t="s">
        <v>137</v>
      </c>
      <c r="Y17" s="79" t="s">
        <v>138</v>
      </c>
      <c r="Z17" s="81">
        <v>5</v>
      </c>
      <c r="AA17" s="31">
        <v>1</v>
      </c>
      <c r="AB17" s="31">
        <v>2</v>
      </c>
      <c r="AC17" s="31">
        <v>6</v>
      </c>
      <c r="AD17" s="31">
        <v>2</v>
      </c>
      <c r="AE17" s="31">
        <v>1</v>
      </c>
      <c r="AF17" s="33">
        <v>6</v>
      </c>
      <c r="AG17" s="33">
        <v>3</v>
      </c>
      <c r="AH17" s="33">
        <v>3</v>
      </c>
      <c r="AI17" s="33">
        <v>5</v>
      </c>
      <c r="AJ17" s="33">
        <v>4</v>
      </c>
      <c r="AK17" s="33">
        <v>3</v>
      </c>
      <c r="AL17" s="27">
        <v>5</v>
      </c>
      <c r="AM17" s="27">
        <v>6</v>
      </c>
      <c r="AN17" s="27">
        <v>3</v>
      </c>
      <c r="AO17" s="27">
        <v>2</v>
      </c>
      <c r="AP17" s="27">
        <v>3</v>
      </c>
      <c r="AQ17" s="27">
        <v>3</v>
      </c>
      <c r="AR17" s="27">
        <v>4</v>
      </c>
      <c r="AS17" s="27">
        <v>6</v>
      </c>
      <c r="AT17" s="27">
        <v>6</v>
      </c>
      <c r="AU17" s="27">
        <v>2</v>
      </c>
      <c r="AV17" s="27">
        <v>5</v>
      </c>
      <c r="AW17" s="27">
        <v>2</v>
      </c>
      <c r="AX17" s="27">
        <v>6</v>
      </c>
      <c r="AY17" s="27">
        <v>6</v>
      </c>
      <c r="AZ17" s="27">
        <v>5</v>
      </c>
      <c r="BA17" s="27">
        <v>6</v>
      </c>
      <c r="BB17" s="27">
        <v>2</v>
      </c>
      <c r="BC17" s="27">
        <v>3</v>
      </c>
      <c r="BD17" s="27">
        <v>1</v>
      </c>
      <c r="BE17" s="27">
        <v>3</v>
      </c>
      <c r="BF17" s="27">
        <v>2</v>
      </c>
      <c r="BG17" s="27">
        <v>3</v>
      </c>
      <c r="BH17" s="27">
        <v>1</v>
      </c>
      <c r="BI17" s="27">
        <v>2</v>
      </c>
      <c r="BJ17" s="27">
        <v>2</v>
      </c>
      <c r="BK17" s="27">
        <v>3</v>
      </c>
      <c r="BL17" s="29">
        <v>6</v>
      </c>
      <c r="BM17" s="29">
        <v>7</v>
      </c>
      <c r="BN17" s="29">
        <v>2</v>
      </c>
      <c r="BO17" s="29">
        <v>1</v>
      </c>
      <c r="BP17" s="29">
        <v>3</v>
      </c>
      <c r="BQ17" s="29">
        <v>5</v>
      </c>
      <c r="BR17" s="29">
        <v>6</v>
      </c>
      <c r="BS17" s="29">
        <v>6</v>
      </c>
      <c r="BT17" s="29">
        <v>2</v>
      </c>
      <c r="BU17" s="29">
        <v>2</v>
      </c>
      <c r="BV17" s="29">
        <v>6</v>
      </c>
      <c r="BW17" s="29">
        <v>3</v>
      </c>
      <c r="BX17" s="29">
        <v>5</v>
      </c>
      <c r="BY17" s="29">
        <v>5</v>
      </c>
      <c r="BZ17" s="29">
        <v>5</v>
      </c>
      <c r="CA17" s="29">
        <v>5</v>
      </c>
      <c r="CB17" s="29">
        <v>2</v>
      </c>
      <c r="CC17" s="29">
        <v>2</v>
      </c>
      <c r="CD17" s="29">
        <v>2</v>
      </c>
      <c r="CE17" s="29">
        <v>4</v>
      </c>
      <c r="CF17" s="29">
        <v>6</v>
      </c>
      <c r="CG17" s="29">
        <v>5</v>
      </c>
      <c r="CH17" s="29">
        <v>2</v>
      </c>
      <c r="CI17" s="29">
        <v>3</v>
      </c>
      <c r="CJ17" s="29">
        <v>3</v>
      </c>
      <c r="CK17" s="29">
        <v>6</v>
      </c>
      <c r="CL17" s="7">
        <v>6</v>
      </c>
      <c r="CM17" s="7">
        <v>7</v>
      </c>
      <c r="CN17" s="7">
        <v>6</v>
      </c>
      <c r="CO17" s="7">
        <v>7</v>
      </c>
      <c r="CP17" s="7">
        <v>1</v>
      </c>
      <c r="CQ17" s="7">
        <v>1</v>
      </c>
      <c r="CR17" s="7">
        <v>2</v>
      </c>
      <c r="CS17" s="7">
        <v>5</v>
      </c>
      <c r="CT17" s="19">
        <v>6</v>
      </c>
      <c r="CU17" s="76"/>
      <c r="CV17" s="76"/>
      <c r="CW17" s="76"/>
      <c r="CX17" s="76"/>
      <c r="CY17" s="76"/>
      <c r="CZ17" s="76"/>
      <c r="DA17" s="76"/>
      <c r="DB17" s="76"/>
      <c r="DC17" s="76"/>
      <c r="DD17" s="76"/>
      <c r="DE17" s="76"/>
      <c r="DF17" s="76"/>
      <c r="DG17" s="76"/>
      <c r="DH17" s="76"/>
      <c r="DI17" s="76"/>
      <c r="DJ17" s="76"/>
      <c r="DK17" s="76"/>
      <c r="DL17" s="77"/>
      <c r="DM17" s="77"/>
      <c r="DN17" s="74"/>
      <c r="DO17" s="74"/>
      <c r="DP17" s="74"/>
      <c r="DQ17" s="76"/>
      <c r="DR17" s="76"/>
      <c r="DS17" s="76"/>
      <c r="DT17" s="76"/>
      <c r="DU17" s="78"/>
      <c r="DV17" s="5"/>
    </row>
    <row r="18" spans="1:126">
      <c r="A18" s="5"/>
      <c r="B18" s="74"/>
      <c r="C18" s="74"/>
      <c r="D18" s="74"/>
      <c r="E18" s="74"/>
      <c r="F18" s="5"/>
      <c r="G18" s="5"/>
      <c r="H18" s="5"/>
      <c r="I18" s="5"/>
      <c r="J18" s="5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5">
        <v>51</v>
      </c>
      <c r="V18" s="24" t="s">
        <v>155</v>
      </c>
      <c r="W18" s="8" t="s">
        <v>122</v>
      </c>
      <c r="X18" s="8" t="s">
        <v>137</v>
      </c>
      <c r="Y18" s="79" t="s">
        <v>139</v>
      </c>
      <c r="Z18" s="81">
        <v>2</v>
      </c>
      <c r="AA18" s="31">
        <v>2</v>
      </c>
      <c r="AB18" s="31">
        <v>3</v>
      </c>
      <c r="AC18" s="31">
        <v>6</v>
      </c>
      <c r="AD18" s="31">
        <v>3</v>
      </c>
      <c r="AE18" s="31">
        <v>2</v>
      </c>
      <c r="AF18" s="33">
        <v>2</v>
      </c>
      <c r="AG18" s="33">
        <v>1</v>
      </c>
      <c r="AH18" s="33">
        <v>2</v>
      </c>
      <c r="AI18" s="33">
        <v>6</v>
      </c>
      <c r="AJ18" s="33">
        <v>3</v>
      </c>
      <c r="AK18" s="33">
        <v>3</v>
      </c>
      <c r="AL18" s="27">
        <v>6</v>
      </c>
      <c r="AM18" s="27">
        <v>7</v>
      </c>
      <c r="AN18" s="27">
        <v>3</v>
      </c>
      <c r="AO18" s="27">
        <v>1</v>
      </c>
      <c r="AP18" s="27">
        <v>3</v>
      </c>
      <c r="AQ18" s="27">
        <v>6</v>
      </c>
      <c r="AR18" s="27">
        <v>6</v>
      </c>
      <c r="AS18" s="27">
        <v>7</v>
      </c>
      <c r="AT18" s="27">
        <v>2</v>
      </c>
      <c r="AU18" s="27">
        <v>2</v>
      </c>
      <c r="AV18" s="27">
        <v>6</v>
      </c>
      <c r="AW18" s="27">
        <v>2</v>
      </c>
      <c r="AX18" s="27">
        <v>7</v>
      </c>
      <c r="AY18" s="27">
        <v>6</v>
      </c>
      <c r="AZ18" s="27">
        <v>6</v>
      </c>
      <c r="BA18" s="27">
        <v>6</v>
      </c>
      <c r="BB18" s="27">
        <v>1</v>
      </c>
      <c r="BC18" s="27">
        <v>2</v>
      </c>
      <c r="BD18" s="27">
        <v>2</v>
      </c>
      <c r="BE18" s="27">
        <v>5</v>
      </c>
      <c r="BF18" s="27">
        <v>2</v>
      </c>
      <c r="BG18" s="27">
        <v>6</v>
      </c>
      <c r="BH18" s="27">
        <v>2</v>
      </c>
      <c r="BI18" s="27">
        <v>2</v>
      </c>
      <c r="BJ18" s="27">
        <v>2</v>
      </c>
      <c r="BK18" s="27">
        <v>6</v>
      </c>
      <c r="BL18" s="29">
        <v>5</v>
      </c>
      <c r="BM18" s="29">
        <v>7</v>
      </c>
      <c r="BN18" s="29">
        <v>4</v>
      </c>
      <c r="BO18" s="29">
        <v>1</v>
      </c>
      <c r="BP18" s="29">
        <v>3</v>
      </c>
      <c r="BQ18" s="29">
        <v>6</v>
      </c>
      <c r="BR18" s="29">
        <v>6</v>
      </c>
      <c r="BS18" s="29">
        <v>7</v>
      </c>
      <c r="BT18" s="29">
        <v>2</v>
      </c>
      <c r="BU18" s="29">
        <v>4</v>
      </c>
      <c r="BV18" s="29">
        <v>5</v>
      </c>
      <c r="BW18" s="29">
        <v>3</v>
      </c>
      <c r="BX18" s="29">
        <v>7</v>
      </c>
      <c r="BY18" s="29">
        <v>5</v>
      </c>
      <c r="BZ18" s="29">
        <v>4</v>
      </c>
      <c r="CA18" s="29">
        <v>5</v>
      </c>
      <c r="CB18" s="29">
        <v>2</v>
      </c>
      <c r="CC18" s="29">
        <v>3</v>
      </c>
      <c r="CD18" s="29">
        <v>1</v>
      </c>
      <c r="CE18" s="29">
        <v>3</v>
      </c>
      <c r="CF18" s="29">
        <v>1</v>
      </c>
      <c r="CG18" s="29">
        <v>5</v>
      </c>
      <c r="CH18" s="29">
        <v>1</v>
      </c>
      <c r="CI18" s="29">
        <v>3</v>
      </c>
      <c r="CJ18" s="29">
        <v>3</v>
      </c>
      <c r="CK18" s="29">
        <v>3</v>
      </c>
      <c r="CL18" s="7">
        <v>5</v>
      </c>
      <c r="CM18" s="7">
        <v>7</v>
      </c>
      <c r="CN18" s="7">
        <v>7</v>
      </c>
      <c r="CO18" s="7">
        <v>7</v>
      </c>
      <c r="CP18" s="7">
        <v>7</v>
      </c>
      <c r="CQ18" s="7">
        <v>4</v>
      </c>
      <c r="CR18" s="7">
        <v>4</v>
      </c>
      <c r="CS18" s="7">
        <v>5</v>
      </c>
      <c r="CT18" s="19">
        <v>5</v>
      </c>
      <c r="CU18" s="76"/>
      <c r="CV18" s="76"/>
      <c r="CW18" s="76"/>
      <c r="CX18" s="76"/>
      <c r="CY18" s="76"/>
      <c r="CZ18" s="76"/>
      <c r="DA18" s="76"/>
      <c r="DB18" s="76"/>
      <c r="DC18" s="76"/>
      <c r="DD18" s="76"/>
      <c r="DE18" s="76"/>
      <c r="DF18" s="76"/>
      <c r="DG18" s="76"/>
      <c r="DH18" s="76"/>
      <c r="DI18" s="76"/>
      <c r="DJ18" s="76"/>
      <c r="DK18" s="76"/>
      <c r="DL18" s="77"/>
      <c r="DM18" s="77"/>
      <c r="DN18" s="74"/>
      <c r="DO18" s="74"/>
      <c r="DP18" s="74"/>
      <c r="DQ18" s="76"/>
      <c r="DR18" s="76"/>
      <c r="DS18" s="76"/>
      <c r="DT18" s="76"/>
      <c r="DU18" s="78"/>
      <c r="DV18" s="5"/>
    </row>
    <row r="19" spans="1:12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</row>
    <row r="20" spans="1:1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</row>
    <row r="21" spans="1:1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</row>
    <row r="22" spans="1:1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</row>
    <row r="23" spans="1:1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</row>
    <row r="24" spans="1:126">
      <c r="A24" s="5"/>
      <c r="B24" s="5"/>
      <c r="C24" s="5"/>
      <c r="D24" s="5"/>
      <c r="E24" s="5"/>
      <c r="F24" s="6" t="s">
        <v>156</v>
      </c>
      <c r="G24" s="6" t="s">
        <v>157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</row>
    <row r="25" spans="1:126">
      <c r="A25" s="5"/>
      <c r="B25" s="5"/>
      <c r="C25" s="5"/>
      <c r="D25" s="5"/>
      <c r="E25" s="5"/>
      <c r="F25" s="6">
        <v>1</v>
      </c>
      <c r="G25" s="6">
        <v>30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</row>
    <row r="26" spans="1:126">
      <c r="A26" s="5"/>
      <c r="B26" s="5"/>
      <c r="C26" s="5"/>
      <c r="D26" s="5"/>
      <c r="E26" s="5"/>
      <c r="F26" s="6">
        <v>2</v>
      </c>
      <c r="G26" s="6">
        <v>27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</row>
    <row r="27" spans="1:126">
      <c r="A27" s="5"/>
      <c r="B27" s="5"/>
      <c r="C27" s="5"/>
      <c r="D27" s="5"/>
      <c r="E27" s="5"/>
      <c r="F27" s="6">
        <v>3</v>
      </c>
      <c r="G27" s="6">
        <v>25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</row>
    <row r="28" spans="1:126">
      <c r="A28" s="5"/>
      <c r="B28" s="5"/>
      <c r="C28" s="5"/>
      <c r="D28" s="5"/>
      <c r="E28" s="5"/>
      <c r="F28" s="6">
        <v>4</v>
      </c>
      <c r="G28" s="6">
        <v>25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</row>
    <row r="29" spans="1:126">
      <c r="A29" s="5"/>
      <c r="B29" s="5"/>
      <c r="C29" s="5"/>
      <c r="D29" s="5"/>
      <c r="E29" s="5"/>
      <c r="F29" s="6">
        <v>5</v>
      </c>
      <c r="G29" s="6">
        <v>24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</row>
    <row r="30" spans="1:126">
      <c r="A30" s="5"/>
      <c r="B30" s="5"/>
      <c r="C30" s="5"/>
      <c r="D30" s="5"/>
      <c r="E30" s="5"/>
      <c r="F30" s="6">
        <v>6</v>
      </c>
      <c r="G30" s="6">
        <v>31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</row>
    <row r="31" spans="1:126">
      <c r="A31" s="5"/>
      <c r="B31" s="5"/>
      <c r="C31" s="5"/>
      <c r="D31" s="5"/>
      <c r="E31" s="5"/>
      <c r="F31" s="6">
        <v>7</v>
      </c>
      <c r="G31" s="6">
        <v>23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</row>
    <row r="32" spans="1:126" ht="15">
      <c r="A32" s="5"/>
      <c r="B32" s="5"/>
      <c r="C32" s="5"/>
      <c r="D32" s="5"/>
      <c r="E32" s="5"/>
      <c r="F32" s="6">
        <v>8</v>
      </c>
      <c r="G32" s="6">
        <v>27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6" t="s">
        <v>158</v>
      </c>
      <c r="CM32" s="6" t="s">
        <v>159</v>
      </c>
      <c r="CN32" s="5"/>
      <c r="CO32" s="5"/>
      <c r="CP32" s="5"/>
      <c r="CQ32" s="5"/>
      <c r="CR32" s="7" t="s">
        <v>160</v>
      </c>
      <c r="CS32" s="6" t="s">
        <v>159</v>
      </c>
      <c r="CT32" s="5"/>
      <c r="CU32" s="5"/>
      <c r="CV32" s="17" t="s">
        <v>161</v>
      </c>
      <c r="CW32" s="6" t="s">
        <v>159</v>
      </c>
      <c r="CX32" s="5"/>
      <c r="CY32" s="5"/>
      <c r="CZ32" s="7" t="s">
        <v>162</v>
      </c>
      <c r="DA32" s="6" t="s">
        <v>159</v>
      </c>
      <c r="DB32" s="5"/>
      <c r="DC32" s="76"/>
      <c r="DD32" s="34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</row>
    <row r="33" spans="5:121">
      <c r="E33" s="5"/>
      <c r="F33" s="6">
        <v>9</v>
      </c>
      <c r="G33" s="6">
        <v>25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6" t="s">
        <v>163</v>
      </c>
      <c r="CM33" s="7">
        <f>MEDIAN(CL3:CL18)</f>
        <v>4</v>
      </c>
      <c r="CN33" s="5"/>
      <c r="CO33" s="5"/>
      <c r="CP33" s="5"/>
      <c r="CQ33" s="5"/>
      <c r="CR33" s="6" t="s">
        <v>163</v>
      </c>
      <c r="CS33" s="7">
        <f>MEDIAN(CR3:CR18)</f>
        <v>2.5</v>
      </c>
      <c r="CT33" s="5"/>
      <c r="CU33" s="5"/>
      <c r="CV33" s="6" t="s">
        <v>163</v>
      </c>
      <c r="CW33" s="16">
        <f>MEDIAN(CS3:CS18)</f>
        <v>5.5</v>
      </c>
      <c r="CX33" s="5"/>
      <c r="CY33" s="5"/>
      <c r="CZ33" s="6" t="s">
        <v>163</v>
      </c>
      <c r="DA33" s="7">
        <f>MEDIAN(CT3:CT18)</f>
        <v>5</v>
      </c>
      <c r="DB33" s="5"/>
      <c r="DC33" s="34"/>
      <c r="DD33" s="94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</row>
    <row r="34" spans="5:121">
      <c r="E34" s="5"/>
      <c r="F34" s="6">
        <v>10</v>
      </c>
      <c r="G34" s="6">
        <v>22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6" t="s">
        <v>164</v>
      </c>
      <c r="CM34" s="16">
        <f>AVERAGE(CL3:CL18)</f>
        <v>3.5625</v>
      </c>
      <c r="CN34" s="5"/>
      <c r="CO34" s="5"/>
      <c r="CP34" s="5"/>
      <c r="CQ34" s="5"/>
      <c r="CR34" s="6" t="s">
        <v>164</v>
      </c>
      <c r="CS34" s="7">
        <f>AVERAGE(CR3:CR18)</f>
        <v>3</v>
      </c>
      <c r="CT34" s="5"/>
      <c r="CU34" s="5"/>
      <c r="CV34" s="6" t="s">
        <v>164</v>
      </c>
      <c r="CW34" s="16">
        <f>AVERAGE(CS3:CS18)</f>
        <v>5.4375</v>
      </c>
      <c r="CX34" s="5"/>
      <c r="CY34" s="5"/>
      <c r="CZ34" s="6" t="s">
        <v>164</v>
      </c>
      <c r="DA34" s="7">
        <f>AVERAGE(CT3:CT18)</f>
        <v>5</v>
      </c>
      <c r="DB34" s="5"/>
      <c r="DC34" s="34"/>
      <c r="DD34" s="94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</row>
    <row r="35" spans="5:121">
      <c r="E35" s="5"/>
      <c r="F35" s="6">
        <v>11</v>
      </c>
      <c r="G35" s="6">
        <v>22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6" t="s">
        <v>165</v>
      </c>
      <c r="CM35" s="16" cm="1">
        <f t="array" ref="CM35:CM36">_xlfn.MODE.MULT(CL3:CL18)</f>
        <v>1</v>
      </c>
      <c r="CN35" s="5"/>
      <c r="CO35" s="5"/>
      <c r="CP35" s="5"/>
      <c r="CQ35" s="5"/>
      <c r="CR35" s="6" t="s">
        <v>165</v>
      </c>
      <c r="CS35" s="6" cm="1">
        <f t="array" ref="CS35">_xlfn.MODE.MULT(CR3:CR18)</f>
        <v>2</v>
      </c>
      <c r="CT35" s="5"/>
      <c r="CU35" s="5"/>
      <c r="CV35" s="6" t="s">
        <v>165</v>
      </c>
      <c r="CW35" s="16" cm="1">
        <f t="array" ref="CW35:CW36">_xlfn.MODE.MULT(CS3:CS18)</f>
        <v>6</v>
      </c>
      <c r="CX35" s="5"/>
      <c r="CY35" s="5"/>
      <c r="CZ35" s="6" t="s">
        <v>165</v>
      </c>
      <c r="DA35" s="16" cm="1">
        <f t="array" ref="DA35:DA36">_xlfn.MODE.MULT(CT3:CT18)</f>
        <v>6</v>
      </c>
      <c r="DB35" s="5"/>
      <c r="DC35" s="34"/>
      <c r="DD35" s="94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</row>
    <row r="36" spans="5:121">
      <c r="E36" s="5"/>
      <c r="F36" s="6">
        <v>12</v>
      </c>
      <c r="G36" s="6">
        <v>23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6"/>
      <c r="CM36" s="16">
        <v>6</v>
      </c>
      <c r="CN36" s="5"/>
      <c r="CO36" s="5"/>
      <c r="CP36" s="5"/>
      <c r="CQ36" s="5"/>
      <c r="CR36" s="6"/>
      <c r="CS36" s="6"/>
      <c r="CT36" s="5"/>
      <c r="CU36" s="5"/>
      <c r="CV36" s="6"/>
      <c r="CW36" s="16">
        <v>5</v>
      </c>
      <c r="CX36" s="5"/>
      <c r="CY36" s="5"/>
      <c r="CZ36" s="6"/>
      <c r="DA36" s="16">
        <v>5</v>
      </c>
      <c r="DB36" s="5"/>
      <c r="DC36" s="34"/>
      <c r="DD36" s="94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</row>
    <row r="37" spans="5:121">
      <c r="E37" s="5"/>
      <c r="F37" s="6">
        <v>13</v>
      </c>
      <c r="G37" s="6">
        <v>22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6" t="s">
        <v>166</v>
      </c>
      <c r="CM37" s="16">
        <f>_xlfn.STDEV.S(CL3:CL18)</f>
        <v>1.998958061924595</v>
      </c>
      <c r="CN37" s="5"/>
      <c r="CO37" s="5"/>
      <c r="CP37" s="5"/>
      <c r="CQ37" s="5"/>
      <c r="CR37" s="6" t="s">
        <v>166</v>
      </c>
      <c r="CS37" s="6">
        <f>_xlfn.STDEV.S(CR3:CR18)</f>
        <v>1.6733200530681511</v>
      </c>
      <c r="CT37" s="5"/>
      <c r="CU37" s="5"/>
      <c r="CV37" s="6" t="s">
        <v>166</v>
      </c>
      <c r="CW37" s="16">
        <f>_xlfn.STDEV.S(CS3:CS18)</f>
        <v>1.0307764064044151</v>
      </c>
      <c r="CX37" s="5"/>
      <c r="CY37" s="5"/>
      <c r="CZ37" s="6" t="s">
        <v>166</v>
      </c>
      <c r="DA37" s="16">
        <f>_xlfn.STDEV.S(CT3:CT18)</f>
        <v>1.4605934866804429</v>
      </c>
      <c r="DB37" s="5"/>
      <c r="DC37" s="34"/>
      <c r="DD37" s="94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</row>
    <row r="38" spans="5:121">
      <c r="E38" s="5"/>
      <c r="F38" s="6">
        <v>14</v>
      </c>
      <c r="G38" s="6">
        <v>26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6" t="s">
        <v>167</v>
      </c>
      <c r="CM38" s="7">
        <f>_xlfn.QUARTILE.INC(CL3:CL18,3)-_xlfn.QUARTILE.INC(CL3:CL18,1)</f>
        <v>3.5</v>
      </c>
      <c r="CN38" s="5"/>
      <c r="CO38" s="5"/>
      <c r="CP38" s="5"/>
      <c r="CQ38" s="5"/>
      <c r="CR38" s="6" t="s">
        <v>167</v>
      </c>
      <c r="CS38" s="7">
        <f>_xlfn.QUARTILE.INC(CR3:CR18,3)-_xlfn.QUARTILE.INC(CR3:CR18,1)</f>
        <v>2</v>
      </c>
      <c r="CT38" s="5"/>
      <c r="CU38" s="5"/>
      <c r="CV38" s="6" t="s">
        <v>167</v>
      </c>
      <c r="CW38" s="16">
        <f>_xlfn.QUARTILE.INC(CS3:CS18,3)-_xlfn.QUARTILE.INC(CS3:CS18,1)</f>
        <v>1</v>
      </c>
      <c r="CX38" s="5"/>
      <c r="CY38" s="5"/>
      <c r="CZ38" s="6" t="s">
        <v>167</v>
      </c>
      <c r="DA38" s="7">
        <f>_xlfn.QUARTILE.INC(CT3:CT18,3)-_xlfn.QUARTILE.INC(CT3:CT18,1)</f>
        <v>1</v>
      </c>
      <c r="DB38" s="5"/>
      <c r="DC38" s="34"/>
      <c r="DD38" s="94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</row>
    <row r="39" spans="5:121">
      <c r="E39" s="5"/>
      <c r="F39" s="6">
        <v>15</v>
      </c>
      <c r="G39" s="6">
        <v>26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6" t="s">
        <v>168</v>
      </c>
      <c r="CM39" s="16">
        <f>_xlfn.QUARTILE.INC(CL3:CL18,1)</f>
        <v>1.75</v>
      </c>
      <c r="CN39" s="5"/>
      <c r="CO39" s="5"/>
      <c r="CP39" s="5"/>
      <c r="CQ39" s="5"/>
      <c r="CR39" s="6" t="s">
        <v>168</v>
      </c>
      <c r="CS39" s="16">
        <f>_xlfn.QUARTILE.INC(CR3:CR18,1)</f>
        <v>2</v>
      </c>
      <c r="CT39" s="5"/>
      <c r="CU39" s="5"/>
      <c r="CV39" s="6" t="s">
        <v>168</v>
      </c>
      <c r="CW39" s="16">
        <f>_xlfn.QUARTILE.INC(CS3:CS18,1)</f>
        <v>5</v>
      </c>
      <c r="CX39" s="5"/>
      <c r="CY39" s="5"/>
      <c r="CZ39" s="6" t="s">
        <v>168</v>
      </c>
      <c r="DA39" s="16">
        <f>_xlfn.QUARTILE.INC(CT3:CT18,1)</f>
        <v>5</v>
      </c>
      <c r="DB39" s="5"/>
      <c r="DC39" s="34"/>
      <c r="DD39" s="94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</row>
    <row r="40" spans="5:121">
      <c r="E40" s="5"/>
      <c r="F40" s="6">
        <v>16</v>
      </c>
      <c r="G40" s="6">
        <v>59</v>
      </c>
      <c r="H40" s="5"/>
      <c r="I40" s="5"/>
      <c r="J40" s="11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6" t="s">
        <v>169</v>
      </c>
      <c r="CM40" s="16">
        <f>_xlfn.QUARTILE.INC(CL3:CL18,3)</f>
        <v>5.25</v>
      </c>
      <c r="CN40" s="5"/>
      <c r="CO40" s="5"/>
      <c r="CP40" s="5"/>
      <c r="CQ40" s="5"/>
      <c r="CR40" s="6" t="s">
        <v>169</v>
      </c>
      <c r="CS40" s="16">
        <f>_xlfn.QUARTILE.INC(CR3:CR18,3)</f>
        <v>4</v>
      </c>
      <c r="CT40" s="5"/>
      <c r="CU40" s="5"/>
      <c r="CV40" s="6" t="s">
        <v>169</v>
      </c>
      <c r="CW40" s="16">
        <f>_xlfn.QUARTILE.INC(CS3:CS18,3)</f>
        <v>6</v>
      </c>
      <c r="CX40" s="5"/>
      <c r="CY40" s="5"/>
      <c r="CZ40" s="6" t="s">
        <v>169</v>
      </c>
      <c r="DA40" s="16">
        <f>_xlfn.QUARTILE.INC(CT3:CT18,3)</f>
        <v>6</v>
      </c>
      <c r="DB40" s="5"/>
      <c r="DC40" s="34"/>
      <c r="DD40" s="94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</row>
    <row r="41" spans="5:121">
      <c r="E41" s="5"/>
      <c r="F41" s="6"/>
      <c r="G41" s="6"/>
      <c r="H41" s="5"/>
      <c r="I41" s="5"/>
      <c r="J41" s="11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</row>
    <row r="42" spans="5:121">
      <c r="E42" s="5"/>
      <c r="F42" s="6"/>
      <c r="G42" s="6"/>
      <c r="H42" s="5"/>
      <c r="I42" s="5"/>
      <c r="J42" s="11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  <c r="BS42" s="36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</row>
    <row r="43" spans="5:121">
      <c r="E43" s="5"/>
      <c r="F43" s="6"/>
      <c r="G43" s="6"/>
      <c r="H43" s="5"/>
      <c r="I43" s="5"/>
      <c r="J43" s="11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6" t="s">
        <v>170</v>
      </c>
      <c r="CM43" s="92">
        <v>1</v>
      </c>
      <c r="CN43" s="92">
        <v>2</v>
      </c>
      <c r="CO43" s="92">
        <v>3</v>
      </c>
      <c r="CP43" s="92">
        <v>4</v>
      </c>
      <c r="CQ43" s="92">
        <v>5</v>
      </c>
      <c r="CR43" s="92">
        <v>6</v>
      </c>
      <c r="CS43" s="92">
        <v>7</v>
      </c>
      <c r="CT43" s="92">
        <v>8</v>
      </c>
      <c r="CU43" s="92">
        <v>9</v>
      </c>
      <c r="CV43" s="92">
        <v>10</v>
      </c>
      <c r="CW43" s="92">
        <v>11</v>
      </c>
      <c r="CX43" s="92">
        <v>12</v>
      </c>
      <c r="CY43" s="92">
        <v>13</v>
      </c>
      <c r="CZ43" s="92">
        <v>14</v>
      </c>
      <c r="DA43" s="92">
        <v>15</v>
      </c>
      <c r="DB43" s="93">
        <v>16</v>
      </c>
      <c r="DC43" s="92" t="s">
        <v>163</v>
      </c>
      <c r="DD43" s="92" t="s">
        <v>164</v>
      </c>
      <c r="DE43" s="92" t="s">
        <v>171</v>
      </c>
      <c r="DF43" s="92" t="s">
        <v>167</v>
      </c>
      <c r="DG43" s="92" t="s">
        <v>168</v>
      </c>
      <c r="DH43" s="93" t="s">
        <v>169</v>
      </c>
      <c r="DI43" s="21" t="s">
        <v>172</v>
      </c>
      <c r="DJ43" s="92">
        <v>1</v>
      </c>
      <c r="DK43" s="92">
        <v>2</v>
      </c>
      <c r="DL43" s="92">
        <v>3</v>
      </c>
      <c r="DM43" s="92">
        <v>4</v>
      </c>
      <c r="DN43" s="92">
        <v>5</v>
      </c>
      <c r="DO43" s="92">
        <v>6</v>
      </c>
      <c r="DP43" s="92">
        <v>7</v>
      </c>
      <c r="DQ43" s="5" t="s">
        <v>173</v>
      </c>
    </row>
    <row r="44" spans="5:121" ht="15">
      <c r="E44" s="5"/>
      <c r="F44" s="6" t="s">
        <v>163</v>
      </c>
      <c r="G44" s="6">
        <f>MEDIAN(G25:G40)</f>
        <v>25</v>
      </c>
      <c r="H44" s="5"/>
      <c r="I44" s="5"/>
      <c r="J44" s="11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18" t="s">
        <v>174</v>
      </c>
      <c r="CM44" s="7">
        <v>5</v>
      </c>
      <c r="CN44" s="7">
        <v>7</v>
      </c>
      <c r="CO44" s="7">
        <v>5</v>
      </c>
      <c r="CP44" s="7">
        <v>7</v>
      </c>
      <c r="CQ44" s="7">
        <v>6</v>
      </c>
      <c r="CR44" s="7">
        <v>6</v>
      </c>
      <c r="CS44" s="7">
        <v>6</v>
      </c>
      <c r="CT44" s="7">
        <v>6</v>
      </c>
      <c r="CU44" s="7">
        <v>6</v>
      </c>
      <c r="CV44" s="7">
        <v>7</v>
      </c>
      <c r="CW44" s="7">
        <v>7</v>
      </c>
      <c r="CX44" s="7">
        <v>7</v>
      </c>
      <c r="CY44" s="7">
        <v>6</v>
      </c>
      <c r="CZ44" s="7">
        <v>3</v>
      </c>
      <c r="DA44" s="7">
        <v>7</v>
      </c>
      <c r="DB44" s="19">
        <v>7</v>
      </c>
      <c r="DC44" s="16">
        <f>MEDIAN(CM44:DB44)</f>
        <v>6</v>
      </c>
      <c r="DD44" s="16">
        <f>AVERAGE(CM44:DB44)</f>
        <v>6.125</v>
      </c>
      <c r="DE44" s="16">
        <f>_xlfn.STDEV.S(CM44:DB44)</f>
        <v>1.0878112581387147</v>
      </c>
      <c r="DF44" s="16">
        <f>DH44-DG44</f>
        <v>1</v>
      </c>
      <c r="DG44" s="16">
        <f>_xlfn.QUARTILE.INC(CM44:DB44,1)</f>
        <v>6</v>
      </c>
      <c r="DH44" s="25">
        <f>_xlfn.QUARTILE.INC(CM44:DB44,3)</f>
        <v>7</v>
      </c>
      <c r="DI44" s="22"/>
      <c r="DJ44" s="6">
        <f>COUNTIF(CM44:DB44,1)</f>
        <v>0</v>
      </c>
      <c r="DK44" s="6">
        <f>COUNTIF(CM44:DB44,2)</f>
        <v>0</v>
      </c>
      <c r="DL44" s="6">
        <f>COUNTIF(CM44:DB44,3)</f>
        <v>1</v>
      </c>
      <c r="DM44" s="6">
        <f>COUNTIF(CM44:DB44,4)</f>
        <v>0</v>
      </c>
      <c r="DN44" s="6">
        <f>COUNTIF(CM44:DB44,5)</f>
        <v>2</v>
      </c>
      <c r="DO44" s="6">
        <f>COUNTIF(CM44:DB44,6)</f>
        <v>6</v>
      </c>
      <c r="DP44" s="6">
        <f>COUNTIF(CM44:DB44,7)</f>
        <v>7</v>
      </c>
      <c r="DQ44" s="5" cm="1">
        <f t="array" ref="DQ44">_xlfn.MODE.MULT(CM44:DB44)</f>
        <v>7</v>
      </c>
    </row>
    <row r="45" spans="5:121">
      <c r="E45" s="5"/>
      <c r="F45" s="12" t="s">
        <v>164</v>
      </c>
      <c r="G45" s="12">
        <f>AVERAGE(G25:G40)</f>
        <v>27.3125</v>
      </c>
      <c r="H45" s="5"/>
      <c r="I45" s="5"/>
      <c r="J45" s="11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7" t="s">
        <v>175</v>
      </c>
      <c r="CM45" s="7">
        <v>7</v>
      </c>
      <c r="CN45" s="7">
        <v>7</v>
      </c>
      <c r="CO45" s="7">
        <v>6</v>
      </c>
      <c r="CP45" s="7">
        <v>7</v>
      </c>
      <c r="CQ45" s="7">
        <v>3</v>
      </c>
      <c r="CR45" s="7">
        <v>6</v>
      </c>
      <c r="CS45" s="7">
        <v>7</v>
      </c>
      <c r="CT45" s="7">
        <v>7</v>
      </c>
      <c r="CU45" s="7">
        <v>5</v>
      </c>
      <c r="CV45" s="7">
        <v>6</v>
      </c>
      <c r="CW45" s="7">
        <v>7</v>
      </c>
      <c r="CX45" s="7">
        <v>7</v>
      </c>
      <c r="CY45" s="7">
        <v>7</v>
      </c>
      <c r="CZ45" s="7">
        <v>7</v>
      </c>
      <c r="DA45" s="7">
        <v>6</v>
      </c>
      <c r="DB45" s="19">
        <v>7</v>
      </c>
      <c r="DC45" s="16">
        <f t="shared" ref="DC45:DC48" si="0">MEDIAN(CM45:DB45)</f>
        <v>7</v>
      </c>
      <c r="DD45" s="16">
        <f t="shared" ref="DD45:DD48" si="1">AVERAGE(CM45:DB45)</f>
        <v>6.375</v>
      </c>
      <c r="DE45" s="16">
        <f t="shared" ref="DE45:DE48" si="2">_xlfn.STDEV.S(CM45:DB45)</f>
        <v>1.0878112581387147</v>
      </c>
      <c r="DF45" s="16">
        <f t="shared" ref="DF45:DF48" si="3">DH45-DG45</f>
        <v>1</v>
      </c>
      <c r="DG45" s="16">
        <f t="shared" ref="DG45:DG48" si="4">_xlfn.QUARTILE.INC(CM45:DB45,1)</f>
        <v>6</v>
      </c>
      <c r="DH45" s="25">
        <f t="shared" ref="DH45:DH48" si="5">_xlfn.QUARTILE.INC(CM45:DB45,3)</f>
        <v>7</v>
      </c>
      <c r="DI45" s="22"/>
      <c r="DJ45" s="6">
        <f t="shared" ref="DJ45:DJ48" si="6">COUNTIF(CM45:DB45,1)</f>
        <v>0</v>
      </c>
      <c r="DK45" s="6">
        <f t="shared" ref="DK45:DK48" si="7">COUNTIF(CM45:DB45,2)</f>
        <v>0</v>
      </c>
      <c r="DL45" s="6">
        <f t="shared" ref="DL45:DL48" si="8">COUNTIF(CM45:DB45,3)</f>
        <v>1</v>
      </c>
      <c r="DM45" s="6">
        <f t="shared" ref="DM45:DM48" si="9">COUNTIF(CM45:DB45,4)</f>
        <v>0</v>
      </c>
      <c r="DN45" s="6">
        <f t="shared" ref="DN45:DN48" si="10">COUNTIF(CM45:DB45,5)</f>
        <v>1</v>
      </c>
      <c r="DO45" s="6">
        <f t="shared" ref="DO45:DO48" si="11">COUNTIF(CM45:DB45,6)</f>
        <v>4</v>
      </c>
      <c r="DP45" s="6">
        <f t="shared" ref="DP45:DP48" si="12">COUNTIF(CM45:DB45,7)</f>
        <v>10</v>
      </c>
      <c r="DQ45" s="5" cm="1">
        <f t="array" ref="DQ45">_xlfn.MODE.MULT(CM45:DB45)</f>
        <v>7</v>
      </c>
    </row>
    <row r="46" spans="5:121">
      <c r="E46" s="5"/>
      <c r="F46" s="6" t="s">
        <v>165</v>
      </c>
      <c r="G46" s="6" cm="1">
        <f t="array" ref="G46:G47">_xlfn.MODE.MULT(G25:G40)</f>
        <v>25</v>
      </c>
      <c r="H46" s="5"/>
      <c r="I46" s="5"/>
      <c r="J46" s="11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7" t="s">
        <v>176</v>
      </c>
      <c r="CM46" s="7">
        <v>6</v>
      </c>
      <c r="CN46" s="7">
        <v>6</v>
      </c>
      <c r="CO46" s="7">
        <v>6</v>
      </c>
      <c r="CP46" s="7">
        <v>7</v>
      </c>
      <c r="CQ46" s="7">
        <v>7</v>
      </c>
      <c r="CR46" s="7">
        <v>6</v>
      </c>
      <c r="CS46" s="7">
        <v>7</v>
      </c>
      <c r="CT46" s="7">
        <v>7</v>
      </c>
      <c r="CU46" s="7">
        <v>7</v>
      </c>
      <c r="CV46" s="7">
        <v>7</v>
      </c>
      <c r="CW46" s="7">
        <v>7</v>
      </c>
      <c r="CX46" s="7">
        <v>6</v>
      </c>
      <c r="CY46" s="7">
        <v>6</v>
      </c>
      <c r="CZ46" s="7">
        <v>6</v>
      </c>
      <c r="DA46" s="7">
        <v>7</v>
      </c>
      <c r="DB46" s="19">
        <v>7</v>
      </c>
      <c r="DC46" s="16">
        <f t="shared" si="0"/>
        <v>7</v>
      </c>
      <c r="DD46" s="16">
        <f t="shared" si="1"/>
        <v>6.5625</v>
      </c>
      <c r="DE46" s="16">
        <f t="shared" si="2"/>
        <v>0.51234753829797997</v>
      </c>
      <c r="DF46" s="16">
        <f t="shared" si="3"/>
        <v>1</v>
      </c>
      <c r="DG46" s="16">
        <f t="shared" si="4"/>
        <v>6</v>
      </c>
      <c r="DH46" s="25">
        <f t="shared" si="5"/>
        <v>7</v>
      </c>
      <c r="DI46" s="22"/>
      <c r="DJ46" s="6">
        <f t="shared" si="6"/>
        <v>0</v>
      </c>
      <c r="DK46" s="6">
        <f t="shared" si="7"/>
        <v>0</v>
      </c>
      <c r="DL46" s="6">
        <f t="shared" si="8"/>
        <v>0</v>
      </c>
      <c r="DM46" s="6">
        <f t="shared" si="9"/>
        <v>0</v>
      </c>
      <c r="DN46" s="6">
        <f t="shared" si="10"/>
        <v>0</v>
      </c>
      <c r="DO46" s="6">
        <f t="shared" si="11"/>
        <v>7</v>
      </c>
      <c r="DP46" s="6">
        <f t="shared" si="12"/>
        <v>9</v>
      </c>
      <c r="DQ46" s="5" cm="1">
        <f t="array" ref="DQ46">_xlfn.MODE.MULT(CM46:DB46)</f>
        <v>7</v>
      </c>
    </row>
    <row r="47" spans="5:121">
      <c r="E47" s="5"/>
      <c r="F47" s="12" t="s">
        <v>165</v>
      </c>
      <c r="G47" s="12">
        <v>22</v>
      </c>
      <c r="H47" s="5"/>
      <c r="I47" s="5"/>
      <c r="J47" s="11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7" t="s">
        <v>177</v>
      </c>
      <c r="CM47" s="7">
        <v>6</v>
      </c>
      <c r="CN47" s="7">
        <v>6</v>
      </c>
      <c r="CO47" s="7">
        <v>7</v>
      </c>
      <c r="CP47" s="7">
        <v>7</v>
      </c>
      <c r="CQ47" s="7">
        <v>7</v>
      </c>
      <c r="CR47" s="7">
        <v>7</v>
      </c>
      <c r="CS47" s="7">
        <v>7</v>
      </c>
      <c r="CT47" s="7">
        <v>5</v>
      </c>
      <c r="CU47" s="7">
        <v>7</v>
      </c>
      <c r="CV47" s="7">
        <v>5</v>
      </c>
      <c r="CW47" s="7">
        <v>7</v>
      </c>
      <c r="CX47" s="7">
        <v>7</v>
      </c>
      <c r="CY47" s="7">
        <v>3</v>
      </c>
      <c r="CZ47" s="7">
        <v>7</v>
      </c>
      <c r="DA47" s="7">
        <v>1</v>
      </c>
      <c r="DB47" s="19">
        <v>7</v>
      </c>
      <c r="DC47" s="16">
        <f t="shared" si="0"/>
        <v>7</v>
      </c>
      <c r="DD47" s="16">
        <f t="shared" si="1"/>
        <v>6</v>
      </c>
      <c r="DE47" s="16">
        <f t="shared" si="2"/>
        <v>1.7511900715418263</v>
      </c>
      <c r="DF47" s="16">
        <f t="shared" si="3"/>
        <v>1.25</v>
      </c>
      <c r="DG47" s="16">
        <f t="shared" si="4"/>
        <v>5.75</v>
      </c>
      <c r="DH47" s="25">
        <f t="shared" si="5"/>
        <v>7</v>
      </c>
      <c r="DI47" s="22"/>
      <c r="DJ47" s="6">
        <f t="shared" si="6"/>
        <v>1</v>
      </c>
      <c r="DK47" s="6">
        <f t="shared" si="7"/>
        <v>0</v>
      </c>
      <c r="DL47" s="6">
        <f t="shared" si="8"/>
        <v>1</v>
      </c>
      <c r="DM47" s="6">
        <f t="shared" si="9"/>
        <v>0</v>
      </c>
      <c r="DN47" s="6">
        <f t="shared" si="10"/>
        <v>2</v>
      </c>
      <c r="DO47" s="6">
        <f t="shared" si="11"/>
        <v>2</v>
      </c>
      <c r="DP47" s="6">
        <f t="shared" si="12"/>
        <v>10</v>
      </c>
      <c r="DQ47" s="5" cm="1">
        <f t="array" ref="DQ47">_xlfn.MODE.MULT(CM47:DB47)</f>
        <v>7</v>
      </c>
    </row>
    <row r="48" spans="5:121">
      <c r="E48" s="5"/>
      <c r="F48" s="6" t="s">
        <v>166</v>
      </c>
      <c r="G48" s="6">
        <f>STDEV(G25:G40)</f>
        <v>8.8597874316110623</v>
      </c>
      <c r="H48" s="5"/>
      <c r="I48" s="5"/>
      <c r="J48" s="11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7" t="s">
        <v>178</v>
      </c>
      <c r="CM48" s="7">
        <v>1</v>
      </c>
      <c r="CN48" s="7">
        <v>1</v>
      </c>
      <c r="CO48" s="7">
        <v>2</v>
      </c>
      <c r="CP48" s="7">
        <v>3</v>
      </c>
      <c r="CQ48" s="7">
        <v>3</v>
      </c>
      <c r="CR48" s="7">
        <v>4</v>
      </c>
      <c r="CS48" s="7">
        <v>3</v>
      </c>
      <c r="CT48" s="7">
        <v>3</v>
      </c>
      <c r="CU48" s="7">
        <v>5</v>
      </c>
      <c r="CV48" s="7">
        <v>5</v>
      </c>
      <c r="CW48" s="7">
        <v>6</v>
      </c>
      <c r="CX48" s="7">
        <v>5</v>
      </c>
      <c r="CY48" s="7">
        <v>5</v>
      </c>
      <c r="CZ48" s="7">
        <v>2</v>
      </c>
      <c r="DA48" s="7">
        <v>1</v>
      </c>
      <c r="DB48" s="19">
        <v>4</v>
      </c>
      <c r="DC48" s="16">
        <f t="shared" si="0"/>
        <v>3</v>
      </c>
      <c r="DD48" s="16">
        <f t="shared" si="1"/>
        <v>3.3125</v>
      </c>
      <c r="DE48" s="16">
        <f t="shared" si="2"/>
        <v>1.6214705259938174</v>
      </c>
      <c r="DF48" s="16">
        <f t="shared" si="3"/>
        <v>3</v>
      </c>
      <c r="DG48" s="16">
        <f t="shared" si="4"/>
        <v>2</v>
      </c>
      <c r="DH48" s="25">
        <f t="shared" si="5"/>
        <v>5</v>
      </c>
      <c r="DI48" s="23"/>
      <c r="DJ48" s="6">
        <f t="shared" si="6"/>
        <v>3</v>
      </c>
      <c r="DK48" s="6">
        <f t="shared" si="7"/>
        <v>2</v>
      </c>
      <c r="DL48" s="6">
        <f t="shared" si="8"/>
        <v>4</v>
      </c>
      <c r="DM48" s="6">
        <f t="shared" si="9"/>
        <v>2</v>
      </c>
      <c r="DN48" s="6">
        <f t="shared" si="10"/>
        <v>4</v>
      </c>
      <c r="DO48" s="6">
        <f t="shared" si="11"/>
        <v>1</v>
      </c>
      <c r="DP48" s="6">
        <f t="shared" si="12"/>
        <v>0</v>
      </c>
      <c r="DQ48" s="5" cm="1">
        <f t="array" ref="DQ48:DQ49">_xlfn.MODE.MULT(CM48:DB48)</f>
        <v>3</v>
      </c>
    </row>
    <row r="49" spans="5:121">
      <c r="E49" s="5"/>
      <c r="F49" s="6" t="s">
        <v>167</v>
      </c>
      <c r="G49" s="9">
        <f>_xlfn.QUARTILE.INC(G25:G40,3)-_xlfn.QUARTILE.INC(G25:G40,1)</f>
        <v>4</v>
      </c>
      <c r="H49" s="5"/>
      <c r="I49" s="5"/>
      <c r="J49" s="11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>
        <v>5</v>
      </c>
    </row>
    <row r="50" spans="5:121">
      <c r="E50" s="5"/>
      <c r="F50" s="15" t="s">
        <v>78</v>
      </c>
      <c r="G50" s="15" t="s">
        <v>179</v>
      </c>
      <c r="H50" s="92" t="s">
        <v>180</v>
      </c>
      <c r="I50" s="5"/>
      <c r="J50" s="14" t="s">
        <v>181</v>
      </c>
      <c r="K50" s="92" t="s">
        <v>182</v>
      </c>
      <c r="L50" s="92" t="s">
        <v>180</v>
      </c>
      <c r="M50" s="5"/>
      <c r="N50" s="6" t="s">
        <v>79</v>
      </c>
      <c r="O50" s="6" t="s">
        <v>182</v>
      </c>
      <c r="P50" s="6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  <c r="BS50" s="36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</row>
    <row r="51" spans="5:121">
      <c r="E51" s="5"/>
      <c r="F51" s="6" t="s">
        <v>122</v>
      </c>
      <c r="G51" s="6">
        <f>COUNTIF(W3:W18,"Männlich")</f>
        <v>10</v>
      </c>
      <c r="H51" s="13">
        <f>_xlfn.PERCENTOF(G51,16)</f>
        <v>0.625</v>
      </c>
      <c r="I51" s="5"/>
      <c r="J51" s="10" t="s">
        <v>126</v>
      </c>
      <c r="K51" s="6">
        <f>COUNTIF(Y3:Y18,"*Informatik*")</f>
        <v>12</v>
      </c>
      <c r="L51" s="13">
        <f>_xlfn.PERCENTOF(K51,16)</f>
        <v>0.75</v>
      </c>
      <c r="M51" s="5"/>
      <c r="N51" s="6" t="s">
        <v>183</v>
      </c>
      <c r="O51" s="6">
        <f>COUNTIF(X3:X18,"*Abitur*")</f>
        <v>10</v>
      </c>
      <c r="P51" s="13">
        <f>_xlfn.PERCENTOF(O51,16)</f>
        <v>0.625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</row>
    <row r="52" spans="5:121">
      <c r="E52" s="5"/>
      <c r="F52" s="6" t="s">
        <v>127</v>
      </c>
      <c r="G52" s="6">
        <f>COUNTIF(W3:W18,"Weiblich")</f>
        <v>6</v>
      </c>
      <c r="H52" s="13">
        <f>_xlfn.PERCENTOF(G52,16)</f>
        <v>0.375</v>
      </c>
      <c r="I52" s="5"/>
      <c r="J52" s="10" t="s">
        <v>129</v>
      </c>
      <c r="K52" s="6">
        <v>3</v>
      </c>
      <c r="L52" s="13">
        <f t="shared" ref="L52:L53" si="13">_xlfn.PERCENTOF(K52,16)</f>
        <v>0.1875</v>
      </c>
      <c r="M52" s="5"/>
      <c r="N52" s="6" t="s">
        <v>184</v>
      </c>
      <c r="O52" s="6">
        <f>COUNTIF(X3:X18,"*Realschulabschluss*")</f>
        <v>2</v>
      </c>
      <c r="P52" s="13">
        <f t="shared" ref="P52:P54" si="14">_xlfn.PERCENTOF(O52,16)</f>
        <v>0.125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6"/>
      <c r="CM52" s="92">
        <v>1</v>
      </c>
      <c r="CN52" s="92">
        <v>2</v>
      </c>
      <c r="CO52" s="92">
        <v>3</v>
      </c>
      <c r="CP52" s="92">
        <v>4</v>
      </c>
      <c r="CQ52" s="92">
        <v>5</v>
      </c>
      <c r="CR52" s="92">
        <v>6</v>
      </c>
      <c r="CS52" s="93">
        <v>7</v>
      </c>
      <c r="CT52" s="6" t="s">
        <v>185</v>
      </c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</row>
    <row r="53" spans="5:121">
      <c r="E53" s="5"/>
      <c r="F53" s="5"/>
      <c r="G53" s="5"/>
      <c r="H53" s="5"/>
      <c r="I53" s="5"/>
      <c r="J53" s="10" t="s">
        <v>139</v>
      </c>
      <c r="K53" s="6">
        <v>1</v>
      </c>
      <c r="L53" s="13">
        <f t="shared" si="13"/>
        <v>6.25E-2</v>
      </c>
      <c r="M53" s="5"/>
      <c r="N53" s="6" t="s">
        <v>186</v>
      </c>
      <c r="O53" s="6">
        <f>COUNTIF(X3:X18,"*Bachelor*")</f>
        <v>2</v>
      </c>
      <c r="P53" s="13">
        <f t="shared" si="14"/>
        <v>0.125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6" t="s">
        <v>158</v>
      </c>
      <c r="CM53" s="6">
        <f>COUNTIF(CL3:CL18,CM52)</f>
        <v>4</v>
      </c>
      <c r="CN53" s="6">
        <f>COUNTIF(CL3:CL18,CN52)</f>
        <v>2</v>
      </c>
      <c r="CO53" s="6">
        <f>COUNTIF(CL3:CL18,CO52)</f>
        <v>1</v>
      </c>
      <c r="CP53" s="6">
        <f>COUNTIF(CL3:CL18,CP52)</f>
        <v>3</v>
      </c>
      <c r="CQ53" s="6">
        <f>COUNTIF(CL3:CL18,CQ52)</f>
        <v>2</v>
      </c>
      <c r="CR53" s="6">
        <f>COUNTIF(CL3:CL18,CR52)</f>
        <v>4</v>
      </c>
      <c r="CS53" s="20">
        <f>COUNTIF(CL3:CL18,CS52)</f>
        <v>0</v>
      </c>
      <c r="CT53" s="6">
        <f>SUM(CM53:CS53)</f>
        <v>16</v>
      </c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</row>
    <row r="54" spans="5:121">
      <c r="E54" s="5"/>
      <c r="F54" s="5"/>
      <c r="G54" s="5"/>
      <c r="H54" s="5"/>
      <c r="I54" s="5"/>
      <c r="J54" s="11"/>
      <c r="K54" s="5"/>
      <c r="L54" s="5"/>
      <c r="M54" s="5"/>
      <c r="N54" s="6" t="s">
        <v>187</v>
      </c>
      <c r="O54" s="6">
        <f>COUNTIF(X3:X18,"*Master*")</f>
        <v>2</v>
      </c>
      <c r="P54" s="13">
        <f t="shared" si="14"/>
        <v>0.125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6"/>
      <c r="BR54" s="36"/>
      <c r="BS54" s="36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7" t="s">
        <v>160</v>
      </c>
      <c r="CM54" s="6">
        <f>COUNTIF($CR3:$CR18,CM52)</f>
        <v>3</v>
      </c>
      <c r="CN54" s="6">
        <f t="shared" ref="CN54:CS54" si="15">COUNTIF($CR3:$CR18,CN52)</f>
        <v>5</v>
      </c>
      <c r="CO54" s="6">
        <f t="shared" si="15"/>
        <v>2</v>
      </c>
      <c r="CP54" s="6">
        <f t="shared" si="15"/>
        <v>3</v>
      </c>
      <c r="CQ54" s="6">
        <f t="shared" si="15"/>
        <v>1</v>
      </c>
      <c r="CR54" s="6">
        <f t="shared" si="15"/>
        <v>2</v>
      </c>
      <c r="CS54" s="20">
        <f t="shared" si="15"/>
        <v>0</v>
      </c>
      <c r="CT54" s="6">
        <f t="shared" ref="CT54:CT56" si="16">SUM(CM54:CS54)</f>
        <v>16</v>
      </c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</row>
    <row r="55" spans="5:121" ht="15">
      <c r="E55" s="5"/>
      <c r="F55" s="5"/>
      <c r="G55" s="5"/>
      <c r="H55" s="5"/>
      <c r="I55" s="5"/>
      <c r="J55" s="11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  <c r="BS55" s="36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18" t="s">
        <v>161</v>
      </c>
      <c r="CM55" s="6">
        <f>COUNTIF($CS3:$CS18,CM52)</f>
        <v>0</v>
      </c>
      <c r="CN55" s="6">
        <f t="shared" ref="CN55:CS55" si="17">COUNTIF($CS3:$CS18,CN52)</f>
        <v>0</v>
      </c>
      <c r="CO55" s="6">
        <f t="shared" si="17"/>
        <v>1</v>
      </c>
      <c r="CP55" s="6">
        <f t="shared" si="17"/>
        <v>1</v>
      </c>
      <c r="CQ55" s="6">
        <f t="shared" si="17"/>
        <v>6</v>
      </c>
      <c r="CR55" s="6">
        <f t="shared" si="17"/>
        <v>6</v>
      </c>
      <c r="CS55" s="20">
        <f t="shared" si="17"/>
        <v>2</v>
      </c>
      <c r="CT55" s="6">
        <f t="shared" si="16"/>
        <v>16</v>
      </c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</row>
    <row r="56" spans="5:121"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 s="36"/>
      <c r="BN56" s="36"/>
      <c r="BO56" s="36"/>
      <c r="BP56" s="36"/>
      <c r="BQ56" s="36"/>
      <c r="BR56" s="36"/>
      <c r="BS56" s="36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7" t="s">
        <v>162</v>
      </c>
      <c r="CM56" s="6">
        <f>COUNTIF($CT3:$CT18,CM52)</f>
        <v>0</v>
      </c>
      <c r="CN56" s="6">
        <f t="shared" ref="CN56:CS56" si="18">COUNTIF($CT3:$CT18,CN52)</f>
        <v>2</v>
      </c>
      <c r="CO56" s="6">
        <f t="shared" si="18"/>
        <v>1</v>
      </c>
      <c r="CP56" s="6">
        <f t="shared" si="18"/>
        <v>0</v>
      </c>
      <c r="CQ56" s="6">
        <f t="shared" si="18"/>
        <v>6</v>
      </c>
      <c r="CR56" s="6">
        <f t="shared" si="18"/>
        <v>6</v>
      </c>
      <c r="CS56" s="20">
        <f t="shared" si="18"/>
        <v>1</v>
      </c>
      <c r="CT56" s="6">
        <f t="shared" si="16"/>
        <v>16</v>
      </c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</row>
    <row r="57" spans="5:121"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</row>
    <row r="58" spans="5:121"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148E1-B784-4519-A62E-16B2848517F2}">
  <dimension ref="A1:AF91"/>
  <sheetViews>
    <sheetView topLeftCell="A65" workbookViewId="0">
      <selection activeCell="N57" sqref="N57"/>
    </sheetView>
  </sheetViews>
  <sheetFormatPr defaultRowHeight="12.75"/>
  <cols>
    <col min="1" max="1" width="16.7109375" customWidth="1"/>
    <col min="31" max="31" width="17" customWidth="1"/>
  </cols>
  <sheetData>
    <row r="1" spans="1:12">
      <c r="A1" s="30" t="s">
        <v>4</v>
      </c>
      <c r="B1" s="30" t="s">
        <v>5</v>
      </c>
      <c r="C1" s="30" t="s">
        <v>6</v>
      </c>
      <c r="D1" s="30" t="s">
        <v>7</v>
      </c>
      <c r="E1" s="30" t="s">
        <v>8</v>
      </c>
      <c r="F1" s="30" t="s">
        <v>9</v>
      </c>
      <c r="G1" s="32" t="s">
        <v>10</v>
      </c>
      <c r="H1" s="32" t="s">
        <v>11</v>
      </c>
      <c r="I1" s="32" t="s">
        <v>12</v>
      </c>
      <c r="J1" s="32" t="s">
        <v>13</v>
      </c>
      <c r="K1" s="32" t="s">
        <v>14</v>
      </c>
      <c r="L1" s="32" t="s">
        <v>15</v>
      </c>
    </row>
    <row r="2" spans="1:12">
      <c r="A2" s="31" t="s">
        <v>81</v>
      </c>
      <c r="B2" s="31" t="s">
        <v>82</v>
      </c>
      <c r="C2" s="31" t="s">
        <v>83</v>
      </c>
      <c r="D2" s="31" t="s">
        <v>84</v>
      </c>
      <c r="E2" s="31" t="s">
        <v>85</v>
      </c>
      <c r="F2" s="31" t="s">
        <v>86</v>
      </c>
      <c r="G2" s="33" t="s">
        <v>81</v>
      </c>
      <c r="H2" s="33" t="s">
        <v>82</v>
      </c>
      <c r="I2" s="33" t="s">
        <v>83</v>
      </c>
      <c r="J2" s="33" t="s">
        <v>84</v>
      </c>
      <c r="K2" s="33" t="s">
        <v>85</v>
      </c>
      <c r="L2" s="33" t="s">
        <v>86</v>
      </c>
    </row>
    <row r="3" spans="1:12">
      <c r="A3" s="31">
        <v>6</v>
      </c>
      <c r="B3" s="31">
        <v>2</v>
      </c>
      <c r="C3" s="31">
        <v>2</v>
      </c>
      <c r="D3" s="31">
        <v>5</v>
      </c>
      <c r="E3" s="31">
        <v>6</v>
      </c>
      <c r="F3" s="31">
        <v>4</v>
      </c>
      <c r="G3" s="33">
        <v>5</v>
      </c>
      <c r="H3" s="33">
        <v>5</v>
      </c>
      <c r="I3" s="33">
        <v>1</v>
      </c>
      <c r="J3" s="33">
        <v>3</v>
      </c>
      <c r="K3" s="33">
        <v>5</v>
      </c>
      <c r="L3" s="33">
        <v>4</v>
      </c>
    </row>
    <row r="4" spans="1:12">
      <c r="A4" s="31">
        <v>4</v>
      </c>
      <c r="B4" s="31">
        <v>5</v>
      </c>
      <c r="C4" s="31">
        <v>3</v>
      </c>
      <c r="D4" s="31">
        <v>3</v>
      </c>
      <c r="E4" s="31">
        <v>4</v>
      </c>
      <c r="F4" s="31">
        <v>4</v>
      </c>
      <c r="G4" s="33">
        <v>3</v>
      </c>
      <c r="H4" s="33">
        <v>3</v>
      </c>
      <c r="I4" s="33">
        <v>2</v>
      </c>
      <c r="J4" s="33">
        <v>6</v>
      </c>
      <c r="K4" s="33">
        <v>3</v>
      </c>
      <c r="L4" s="33">
        <v>3</v>
      </c>
    </row>
    <row r="5" spans="1:12">
      <c r="A5" s="31">
        <v>5</v>
      </c>
      <c r="B5" s="31">
        <v>4</v>
      </c>
      <c r="C5" s="31">
        <v>2</v>
      </c>
      <c r="D5" s="31">
        <v>6</v>
      </c>
      <c r="E5" s="31">
        <v>3</v>
      </c>
      <c r="F5" s="31">
        <v>5</v>
      </c>
      <c r="G5" s="33">
        <v>3</v>
      </c>
      <c r="H5" s="33">
        <v>5</v>
      </c>
      <c r="I5" s="33">
        <v>2</v>
      </c>
      <c r="J5" s="33">
        <v>6</v>
      </c>
      <c r="K5" s="33">
        <v>2</v>
      </c>
      <c r="L5" s="33">
        <v>3</v>
      </c>
    </row>
    <row r="6" spans="1:12">
      <c r="A6" s="31">
        <v>6</v>
      </c>
      <c r="B6" s="31">
        <v>1</v>
      </c>
      <c r="C6" s="31">
        <v>1</v>
      </c>
      <c r="D6" s="31">
        <v>6</v>
      </c>
      <c r="E6" s="31">
        <v>6</v>
      </c>
      <c r="F6" s="31">
        <v>1</v>
      </c>
      <c r="G6" s="33">
        <v>5</v>
      </c>
      <c r="H6" s="33">
        <v>1</v>
      </c>
      <c r="I6" s="33">
        <v>1</v>
      </c>
      <c r="J6" s="33">
        <v>7</v>
      </c>
      <c r="K6" s="33">
        <v>4</v>
      </c>
      <c r="L6" s="33">
        <v>1</v>
      </c>
    </row>
    <row r="7" spans="1:12">
      <c r="A7" s="31">
        <v>6</v>
      </c>
      <c r="B7" s="31">
        <v>3</v>
      </c>
      <c r="C7" s="31">
        <v>5</v>
      </c>
      <c r="D7" s="31">
        <v>3</v>
      </c>
      <c r="E7" s="31">
        <v>6</v>
      </c>
      <c r="F7" s="31">
        <v>3</v>
      </c>
      <c r="G7" s="33">
        <v>5</v>
      </c>
      <c r="H7" s="33">
        <v>2</v>
      </c>
      <c r="I7" s="33">
        <v>5</v>
      </c>
      <c r="J7" s="33">
        <v>3</v>
      </c>
      <c r="K7" s="33">
        <v>5</v>
      </c>
      <c r="L7" s="33">
        <v>5</v>
      </c>
    </row>
    <row r="8" spans="1:12">
      <c r="A8" s="31">
        <v>5</v>
      </c>
      <c r="B8" s="31">
        <v>5</v>
      </c>
      <c r="C8" s="31">
        <v>3</v>
      </c>
      <c r="D8" s="31">
        <v>5</v>
      </c>
      <c r="E8" s="31">
        <v>5</v>
      </c>
      <c r="F8" s="31">
        <v>2</v>
      </c>
      <c r="G8" s="33">
        <v>4</v>
      </c>
      <c r="H8" s="33">
        <v>3</v>
      </c>
      <c r="I8" s="33">
        <v>3</v>
      </c>
      <c r="J8" s="33">
        <v>4</v>
      </c>
      <c r="K8" s="33">
        <v>5</v>
      </c>
      <c r="L8" s="33">
        <v>4</v>
      </c>
    </row>
    <row r="9" spans="1:12">
      <c r="A9" s="31">
        <v>3</v>
      </c>
      <c r="B9" s="31">
        <v>2</v>
      </c>
      <c r="C9" s="31">
        <v>3</v>
      </c>
      <c r="D9" s="31">
        <v>6</v>
      </c>
      <c r="E9" s="31">
        <v>6</v>
      </c>
      <c r="F9" s="31">
        <v>1</v>
      </c>
      <c r="G9" s="33">
        <v>6</v>
      </c>
      <c r="H9" s="33">
        <v>7</v>
      </c>
      <c r="I9" s="33">
        <v>5</v>
      </c>
      <c r="J9" s="33">
        <v>4</v>
      </c>
      <c r="K9" s="33">
        <v>6</v>
      </c>
      <c r="L9" s="33">
        <v>2</v>
      </c>
    </row>
    <row r="10" spans="1:12">
      <c r="A10" s="31">
        <v>7</v>
      </c>
      <c r="B10" s="31">
        <v>3</v>
      </c>
      <c r="C10" s="31">
        <v>5</v>
      </c>
      <c r="D10" s="31">
        <v>2</v>
      </c>
      <c r="E10" s="31">
        <v>5</v>
      </c>
      <c r="F10" s="31">
        <v>4</v>
      </c>
      <c r="G10" s="33">
        <v>5</v>
      </c>
      <c r="H10" s="33">
        <v>1</v>
      </c>
      <c r="I10" s="33">
        <v>2</v>
      </c>
      <c r="J10" s="33">
        <v>7</v>
      </c>
      <c r="K10" s="33">
        <v>4</v>
      </c>
      <c r="L10" s="33">
        <v>1</v>
      </c>
    </row>
    <row r="11" spans="1:12">
      <c r="A11" s="31">
        <v>6</v>
      </c>
      <c r="B11" s="31">
        <v>5</v>
      </c>
      <c r="C11" s="31">
        <v>3</v>
      </c>
      <c r="D11" s="31">
        <v>6</v>
      </c>
      <c r="E11" s="31">
        <v>5</v>
      </c>
      <c r="F11" s="31">
        <v>3</v>
      </c>
      <c r="G11" s="33">
        <v>5</v>
      </c>
      <c r="H11" s="33">
        <v>4</v>
      </c>
      <c r="I11" s="33">
        <v>4</v>
      </c>
      <c r="J11" s="33">
        <v>6</v>
      </c>
      <c r="K11" s="33">
        <v>5</v>
      </c>
      <c r="L11" s="33">
        <v>5</v>
      </c>
    </row>
    <row r="12" spans="1:12">
      <c r="A12" s="31">
        <v>3</v>
      </c>
      <c r="B12" s="31">
        <v>2</v>
      </c>
      <c r="C12" s="31">
        <v>2</v>
      </c>
      <c r="D12" s="31">
        <v>5</v>
      </c>
      <c r="E12" s="31">
        <v>4</v>
      </c>
      <c r="F12" s="31">
        <v>4</v>
      </c>
      <c r="G12" s="33">
        <v>5</v>
      </c>
      <c r="H12" s="33">
        <v>5</v>
      </c>
      <c r="I12" s="33">
        <v>3</v>
      </c>
      <c r="J12" s="33">
        <v>5</v>
      </c>
      <c r="K12" s="33">
        <v>5</v>
      </c>
      <c r="L12" s="33">
        <v>5</v>
      </c>
    </row>
    <row r="13" spans="1:12">
      <c r="A13" s="31">
        <v>3</v>
      </c>
      <c r="B13" s="31">
        <v>3</v>
      </c>
      <c r="C13" s="31">
        <v>1</v>
      </c>
      <c r="D13" s="31">
        <v>3</v>
      </c>
      <c r="E13" s="31">
        <v>5</v>
      </c>
      <c r="F13" s="31">
        <v>3</v>
      </c>
      <c r="G13" s="33">
        <v>2</v>
      </c>
      <c r="H13" s="33">
        <v>2</v>
      </c>
      <c r="I13" s="33">
        <v>1</v>
      </c>
      <c r="J13" s="33">
        <v>3</v>
      </c>
      <c r="K13" s="33">
        <v>5</v>
      </c>
      <c r="L13" s="33">
        <v>4</v>
      </c>
    </row>
    <row r="14" spans="1:12">
      <c r="A14" s="31">
        <v>2</v>
      </c>
      <c r="B14" s="31">
        <v>2</v>
      </c>
      <c r="C14" s="31">
        <v>3</v>
      </c>
      <c r="D14" s="31">
        <v>3</v>
      </c>
      <c r="E14" s="31">
        <v>5</v>
      </c>
      <c r="F14" s="31">
        <v>2</v>
      </c>
      <c r="G14" s="33">
        <v>3</v>
      </c>
      <c r="H14" s="33">
        <v>5</v>
      </c>
      <c r="I14" s="33">
        <v>2</v>
      </c>
      <c r="J14" s="33">
        <v>5</v>
      </c>
      <c r="K14" s="33">
        <v>5</v>
      </c>
      <c r="L14" s="33">
        <v>2</v>
      </c>
    </row>
    <row r="15" spans="1:12">
      <c r="A15" s="31">
        <v>3</v>
      </c>
      <c r="B15" s="31">
        <v>2</v>
      </c>
      <c r="C15" s="31">
        <v>4</v>
      </c>
      <c r="D15" s="31">
        <v>6</v>
      </c>
      <c r="E15" s="31">
        <v>3</v>
      </c>
      <c r="F15" s="31">
        <v>2</v>
      </c>
      <c r="G15" s="33">
        <v>6</v>
      </c>
      <c r="H15" s="33">
        <v>2</v>
      </c>
      <c r="I15" s="33">
        <v>4</v>
      </c>
      <c r="J15" s="33">
        <v>3</v>
      </c>
      <c r="K15" s="33">
        <v>3</v>
      </c>
      <c r="L15" s="33">
        <v>4</v>
      </c>
    </row>
    <row r="16" spans="1:12">
      <c r="A16" s="31">
        <v>3</v>
      </c>
      <c r="B16" s="31">
        <v>2</v>
      </c>
      <c r="C16" s="31">
        <v>3</v>
      </c>
      <c r="D16" s="31">
        <v>5</v>
      </c>
      <c r="E16" s="31">
        <v>3</v>
      </c>
      <c r="F16" s="31">
        <v>4</v>
      </c>
      <c r="G16" s="33">
        <v>2</v>
      </c>
      <c r="H16" s="33">
        <v>2</v>
      </c>
      <c r="I16" s="33">
        <v>2</v>
      </c>
      <c r="J16" s="33">
        <v>7</v>
      </c>
      <c r="K16" s="33">
        <v>2</v>
      </c>
      <c r="L16" s="33">
        <v>4</v>
      </c>
    </row>
    <row r="17" spans="1:32">
      <c r="A17" s="31">
        <v>5</v>
      </c>
      <c r="B17" s="31">
        <v>1</v>
      </c>
      <c r="C17" s="31">
        <v>2</v>
      </c>
      <c r="D17" s="31">
        <v>6</v>
      </c>
      <c r="E17" s="31">
        <v>2</v>
      </c>
      <c r="F17" s="31">
        <v>1</v>
      </c>
      <c r="G17" s="33">
        <v>6</v>
      </c>
      <c r="H17" s="33">
        <v>3</v>
      </c>
      <c r="I17" s="33">
        <v>3</v>
      </c>
      <c r="J17" s="33">
        <v>5</v>
      </c>
      <c r="K17" s="33">
        <v>4</v>
      </c>
      <c r="L17" s="33">
        <v>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spans="1:32">
      <c r="A18" s="31">
        <v>2</v>
      </c>
      <c r="B18" s="31">
        <v>2</v>
      </c>
      <c r="C18" s="31">
        <v>3</v>
      </c>
      <c r="D18" s="31">
        <v>6</v>
      </c>
      <c r="E18" s="31">
        <v>3</v>
      </c>
      <c r="F18" s="31">
        <v>2</v>
      </c>
      <c r="G18" s="33">
        <v>2</v>
      </c>
      <c r="H18" s="33">
        <v>1</v>
      </c>
      <c r="I18" s="33">
        <v>2</v>
      </c>
      <c r="J18" s="33">
        <v>6</v>
      </c>
      <c r="K18" s="33">
        <v>3</v>
      </c>
      <c r="L18" s="33">
        <v>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25" spans="1:3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>
      <c r="A26" s="95" t="s">
        <v>188</v>
      </c>
      <c r="B26" s="95"/>
      <c r="C26" s="95"/>
      <c r="D26" s="95"/>
      <c r="E26" s="95"/>
      <c r="F26" s="95"/>
      <c r="G26" s="95" t="s">
        <v>189</v>
      </c>
      <c r="H26" s="95"/>
      <c r="I26" s="95"/>
      <c r="J26" s="95"/>
      <c r="K26" s="95"/>
      <c r="L26" s="95"/>
      <c r="M26" s="5"/>
      <c r="N26" s="5"/>
      <c r="O26" s="5"/>
      <c r="P26" s="5"/>
      <c r="Q26" s="5"/>
      <c r="R26" s="96" t="s">
        <v>188</v>
      </c>
      <c r="S26" s="96"/>
      <c r="T26" s="96"/>
      <c r="U26" s="96"/>
      <c r="V26" s="96"/>
      <c r="W26" s="96"/>
      <c r="X26" s="97" t="s">
        <v>189</v>
      </c>
      <c r="Y26" s="97"/>
      <c r="Z26" s="97"/>
      <c r="AA26" s="97"/>
      <c r="AB26" s="97"/>
      <c r="AC26" s="97"/>
      <c r="AD26" s="5"/>
      <c r="AE26" s="5"/>
      <c r="AF26" s="5"/>
    </row>
    <row r="27" spans="1:32">
      <c r="A27" s="37">
        <v>3</v>
      </c>
      <c r="B27" s="37">
        <v>3</v>
      </c>
      <c r="C27" s="37">
        <v>2</v>
      </c>
      <c r="D27" s="37">
        <v>6</v>
      </c>
      <c r="E27" s="37">
        <v>3</v>
      </c>
      <c r="F27" s="37">
        <v>3</v>
      </c>
      <c r="G27" s="38">
        <v>4</v>
      </c>
      <c r="H27" s="38">
        <v>5</v>
      </c>
      <c r="I27" s="38">
        <v>3</v>
      </c>
      <c r="J27" s="38">
        <v>3</v>
      </c>
      <c r="K27" s="38">
        <v>4</v>
      </c>
      <c r="L27" s="38">
        <v>4</v>
      </c>
      <c r="M27" s="5"/>
      <c r="N27" s="5"/>
      <c r="O27" s="5"/>
      <c r="P27" s="5"/>
      <c r="Q27" s="5"/>
      <c r="R27" s="39">
        <f>(A27-1)/6*100</f>
        <v>33.333333333333329</v>
      </c>
      <c r="S27" s="39">
        <f t="shared" ref="S27:W42" si="0">(B27-1)/6*100</f>
        <v>33.333333333333329</v>
      </c>
      <c r="T27" s="39">
        <f t="shared" si="0"/>
        <v>16.666666666666664</v>
      </c>
      <c r="U27" s="39">
        <f>(D27-1)/6*100</f>
        <v>83.333333333333343</v>
      </c>
      <c r="V27" s="39">
        <f t="shared" si="0"/>
        <v>33.333333333333329</v>
      </c>
      <c r="W27" s="39">
        <f t="shared" si="0"/>
        <v>33.333333333333329</v>
      </c>
      <c r="X27" s="69">
        <f t="shared" ref="X27:X42" si="1">(G27-1)/6*100</f>
        <v>50</v>
      </c>
      <c r="Y27" s="26">
        <f t="shared" ref="Y27:Y42" si="2">(H27-1)/6*100</f>
        <v>66.666666666666657</v>
      </c>
      <c r="Z27" s="26">
        <f t="shared" ref="Z27:Z42" si="3">(I27-1)/6*100</f>
        <v>33.333333333333329</v>
      </c>
      <c r="AA27" s="26">
        <f>(J27-1)/6*100</f>
        <v>33.333333333333329</v>
      </c>
      <c r="AB27" s="26">
        <f t="shared" ref="AB27:AB42" si="4">(K27-1)/6*100</f>
        <v>50</v>
      </c>
      <c r="AC27" s="26">
        <f t="shared" ref="AC27:AC42" si="5">(L27-1)/6*100</f>
        <v>50</v>
      </c>
      <c r="AD27" s="5"/>
      <c r="AE27" s="5" t="s">
        <v>190</v>
      </c>
      <c r="AF27" s="5">
        <f>AVERAGE(X27:X42)</f>
        <v>53.125</v>
      </c>
    </row>
    <row r="28" spans="1:32">
      <c r="A28" s="33">
        <v>3</v>
      </c>
      <c r="B28" s="33">
        <v>5</v>
      </c>
      <c r="C28" s="33">
        <v>2</v>
      </c>
      <c r="D28" s="33">
        <v>6</v>
      </c>
      <c r="E28" s="33">
        <v>2</v>
      </c>
      <c r="F28" s="33">
        <v>3</v>
      </c>
      <c r="G28" s="31">
        <v>5</v>
      </c>
      <c r="H28" s="31">
        <v>4</v>
      </c>
      <c r="I28" s="31">
        <v>2</v>
      </c>
      <c r="J28" s="31">
        <v>6</v>
      </c>
      <c r="K28" s="31">
        <v>3</v>
      </c>
      <c r="L28" s="31">
        <v>5</v>
      </c>
      <c r="M28" s="5"/>
      <c r="N28" s="5"/>
      <c r="O28" s="5"/>
      <c r="P28" s="5"/>
      <c r="Q28" s="5"/>
      <c r="R28" s="39">
        <f t="shared" ref="R28:R42" si="6">(A28-1)/6*100</f>
        <v>33.333333333333329</v>
      </c>
      <c r="S28" s="39">
        <f t="shared" si="0"/>
        <v>66.666666666666657</v>
      </c>
      <c r="T28" s="39">
        <f t="shared" si="0"/>
        <v>16.666666666666664</v>
      </c>
      <c r="U28" s="39">
        <f t="shared" ref="U28:U42" si="7">(D28-1)/6*100</f>
        <v>83.333333333333343</v>
      </c>
      <c r="V28" s="39">
        <f t="shared" si="0"/>
        <v>16.666666666666664</v>
      </c>
      <c r="W28" s="39">
        <f t="shared" si="0"/>
        <v>33.333333333333329</v>
      </c>
      <c r="X28" s="69">
        <f t="shared" si="1"/>
        <v>66.666666666666657</v>
      </c>
      <c r="Y28" s="26">
        <f t="shared" si="2"/>
        <v>50</v>
      </c>
      <c r="Z28" s="26">
        <f t="shared" si="3"/>
        <v>16.666666666666664</v>
      </c>
      <c r="AA28" s="26">
        <f t="shared" ref="AA28:AA42" si="8">(J28-1)/6*100</f>
        <v>83.333333333333343</v>
      </c>
      <c r="AB28" s="26">
        <f t="shared" si="4"/>
        <v>33.333333333333329</v>
      </c>
      <c r="AC28" s="26">
        <f t="shared" si="5"/>
        <v>66.666666666666657</v>
      </c>
      <c r="AD28" s="5"/>
      <c r="AE28" s="5" t="s">
        <v>191</v>
      </c>
      <c r="AF28" s="5">
        <f>AVERAGE(R27:R42)</f>
        <v>55.208333333333336</v>
      </c>
    </row>
    <row r="29" spans="1:32">
      <c r="A29" s="31">
        <v>6</v>
      </c>
      <c r="B29" s="31">
        <v>1</v>
      </c>
      <c r="C29" s="31">
        <v>1</v>
      </c>
      <c r="D29" s="31">
        <v>6</v>
      </c>
      <c r="E29" s="31">
        <v>6</v>
      </c>
      <c r="F29" s="31">
        <v>1</v>
      </c>
      <c r="G29" s="33">
        <v>5</v>
      </c>
      <c r="H29" s="33">
        <v>1</v>
      </c>
      <c r="I29" s="33">
        <v>1</v>
      </c>
      <c r="J29" s="33">
        <v>7</v>
      </c>
      <c r="K29" s="33">
        <v>4</v>
      </c>
      <c r="L29" s="33">
        <v>1</v>
      </c>
      <c r="M29" s="5"/>
      <c r="N29" s="5"/>
      <c r="O29" s="5"/>
      <c r="P29" s="5"/>
      <c r="Q29" s="5"/>
      <c r="R29" s="39">
        <f t="shared" si="6"/>
        <v>83.333333333333343</v>
      </c>
      <c r="S29" s="39">
        <f t="shared" si="0"/>
        <v>0</v>
      </c>
      <c r="T29" s="39">
        <f t="shared" si="0"/>
        <v>0</v>
      </c>
      <c r="U29" s="39">
        <f t="shared" si="7"/>
        <v>83.333333333333343</v>
      </c>
      <c r="V29" s="39">
        <f t="shared" si="0"/>
        <v>83.333333333333343</v>
      </c>
      <c r="W29" s="39">
        <f t="shared" si="0"/>
        <v>0</v>
      </c>
      <c r="X29" s="69">
        <f t="shared" si="1"/>
        <v>66.666666666666657</v>
      </c>
      <c r="Y29" s="26">
        <f t="shared" si="2"/>
        <v>0</v>
      </c>
      <c r="Z29" s="26">
        <f t="shared" si="3"/>
        <v>0</v>
      </c>
      <c r="AA29" s="26">
        <f t="shared" si="8"/>
        <v>100</v>
      </c>
      <c r="AB29" s="26">
        <f t="shared" si="4"/>
        <v>50</v>
      </c>
      <c r="AC29" s="26">
        <f t="shared" si="5"/>
        <v>0</v>
      </c>
      <c r="AD29" s="5"/>
      <c r="AE29" s="5"/>
      <c r="AF29" s="5"/>
    </row>
    <row r="30" spans="1:32">
      <c r="A30" s="31">
        <v>6</v>
      </c>
      <c r="B30" s="31">
        <v>3</v>
      </c>
      <c r="C30" s="31">
        <v>5</v>
      </c>
      <c r="D30" s="31">
        <v>3</v>
      </c>
      <c r="E30" s="31">
        <v>6</v>
      </c>
      <c r="F30" s="31">
        <v>3</v>
      </c>
      <c r="G30" s="33">
        <v>5</v>
      </c>
      <c r="H30" s="33">
        <v>2</v>
      </c>
      <c r="I30" s="33">
        <v>5</v>
      </c>
      <c r="J30" s="33">
        <v>3</v>
      </c>
      <c r="K30" s="33">
        <v>5</v>
      </c>
      <c r="L30" s="33">
        <v>5</v>
      </c>
      <c r="M30" s="5"/>
      <c r="N30" s="5"/>
      <c r="O30" s="5"/>
      <c r="P30" s="5"/>
      <c r="Q30" s="5"/>
      <c r="R30" s="39">
        <f t="shared" si="6"/>
        <v>83.333333333333343</v>
      </c>
      <c r="S30" s="39">
        <f t="shared" si="0"/>
        <v>33.333333333333329</v>
      </c>
      <c r="T30" s="39">
        <f t="shared" si="0"/>
        <v>66.666666666666657</v>
      </c>
      <c r="U30" s="39">
        <f t="shared" si="7"/>
        <v>33.333333333333329</v>
      </c>
      <c r="V30" s="39">
        <f t="shared" si="0"/>
        <v>83.333333333333343</v>
      </c>
      <c r="W30" s="39">
        <f t="shared" si="0"/>
        <v>33.333333333333329</v>
      </c>
      <c r="X30" s="69">
        <f t="shared" si="1"/>
        <v>66.666666666666657</v>
      </c>
      <c r="Y30" s="26">
        <f t="shared" si="2"/>
        <v>16.666666666666664</v>
      </c>
      <c r="Z30" s="26">
        <f t="shared" si="3"/>
        <v>66.666666666666657</v>
      </c>
      <c r="AA30" s="26">
        <f t="shared" si="8"/>
        <v>33.333333333333329</v>
      </c>
      <c r="AB30" s="26">
        <f t="shared" si="4"/>
        <v>66.666666666666657</v>
      </c>
      <c r="AC30" s="26">
        <f t="shared" si="5"/>
        <v>66.666666666666657</v>
      </c>
      <c r="AD30" s="5"/>
      <c r="AE30" s="5" t="s">
        <v>192</v>
      </c>
      <c r="AF30" s="5">
        <f>MEDIAN(X27:X42)</f>
        <v>66.666666666666657</v>
      </c>
    </row>
    <row r="31" spans="1:32">
      <c r="A31" s="33">
        <v>4</v>
      </c>
      <c r="B31" s="33">
        <v>3</v>
      </c>
      <c r="C31" s="33">
        <v>3</v>
      </c>
      <c r="D31" s="33">
        <v>4</v>
      </c>
      <c r="E31" s="33">
        <v>5</v>
      </c>
      <c r="F31" s="33">
        <v>4</v>
      </c>
      <c r="G31" s="31">
        <v>5</v>
      </c>
      <c r="H31" s="31">
        <v>5</v>
      </c>
      <c r="I31" s="31">
        <v>3</v>
      </c>
      <c r="J31" s="31">
        <v>5</v>
      </c>
      <c r="K31" s="31">
        <v>5</v>
      </c>
      <c r="L31" s="31">
        <v>2</v>
      </c>
      <c r="M31" s="5"/>
      <c r="N31" s="5"/>
      <c r="O31" s="5"/>
      <c r="P31" s="5"/>
      <c r="Q31" s="5"/>
      <c r="R31" s="39">
        <f t="shared" si="6"/>
        <v>50</v>
      </c>
      <c r="S31" s="39">
        <f t="shared" si="0"/>
        <v>33.333333333333329</v>
      </c>
      <c r="T31" s="39">
        <f t="shared" si="0"/>
        <v>33.333333333333329</v>
      </c>
      <c r="U31" s="39">
        <f t="shared" si="7"/>
        <v>50</v>
      </c>
      <c r="V31" s="39">
        <f t="shared" si="0"/>
        <v>66.666666666666657</v>
      </c>
      <c r="W31" s="39">
        <f t="shared" si="0"/>
        <v>50</v>
      </c>
      <c r="X31" s="69">
        <f t="shared" si="1"/>
        <v>66.666666666666657</v>
      </c>
      <c r="Y31" s="26">
        <f t="shared" si="2"/>
        <v>66.666666666666657</v>
      </c>
      <c r="Z31" s="26">
        <f t="shared" si="3"/>
        <v>33.333333333333329</v>
      </c>
      <c r="AA31" s="26">
        <f t="shared" si="8"/>
        <v>66.666666666666657</v>
      </c>
      <c r="AB31" s="26">
        <f t="shared" si="4"/>
        <v>66.666666666666657</v>
      </c>
      <c r="AC31" s="26">
        <f t="shared" si="5"/>
        <v>16.666666666666664</v>
      </c>
      <c r="AD31" s="5"/>
      <c r="AE31" s="5" t="s">
        <v>193</v>
      </c>
      <c r="AF31" s="5">
        <f>MEDIAN(R27:R42)</f>
        <v>58.333333333333329</v>
      </c>
    </row>
    <row r="32" spans="1:32">
      <c r="A32" s="33">
        <v>6</v>
      </c>
      <c r="B32" s="33">
        <v>7</v>
      </c>
      <c r="C32" s="33">
        <v>5</v>
      </c>
      <c r="D32" s="33">
        <v>4</v>
      </c>
      <c r="E32" s="33">
        <v>6</v>
      </c>
      <c r="F32" s="33">
        <v>2</v>
      </c>
      <c r="G32" s="31">
        <v>3</v>
      </c>
      <c r="H32" s="31">
        <v>2</v>
      </c>
      <c r="I32" s="31">
        <v>3</v>
      </c>
      <c r="J32" s="31">
        <v>6</v>
      </c>
      <c r="K32" s="31">
        <v>6</v>
      </c>
      <c r="L32" s="31">
        <v>1</v>
      </c>
      <c r="M32" s="5"/>
      <c r="N32" s="5"/>
      <c r="O32" s="5"/>
      <c r="P32" s="5"/>
      <c r="Q32" s="5"/>
      <c r="R32" s="39">
        <f t="shared" si="6"/>
        <v>83.333333333333343</v>
      </c>
      <c r="S32" s="39">
        <f t="shared" si="0"/>
        <v>100</v>
      </c>
      <c r="T32" s="39">
        <f t="shared" si="0"/>
        <v>66.666666666666657</v>
      </c>
      <c r="U32" s="39">
        <f t="shared" si="7"/>
        <v>50</v>
      </c>
      <c r="V32" s="39">
        <f t="shared" si="0"/>
        <v>83.333333333333343</v>
      </c>
      <c r="W32" s="39">
        <f t="shared" si="0"/>
        <v>16.666666666666664</v>
      </c>
      <c r="X32" s="69">
        <f t="shared" si="1"/>
        <v>33.333333333333329</v>
      </c>
      <c r="Y32" s="26">
        <f t="shared" si="2"/>
        <v>16.666666666666664</v>
      </c>
      <c r="Z32" s="26">
        <f t="shared" si="3"/>
        <v>33.333333333333329</v>
      </c>
      <c r="AA32" s="26">
        <f t="shared" si="8"/>
        <v>83.333333333333343</v>
      </c>
      <c r="AB32" s="26">
        <f t="shared" si="4"/>
        <v>83.333333333333343</v>
      </c>
      <c r="AC32" s="26">
        <f t="shared" si="5"/>
        <v>0</v>
      </c>
      <c r="AD32" s="5"/>
      <c r="AE32" s="5"/>
      <c r="AF32" s="5">
        <f>_xlfn.QUARTILE.INC(X27:X42,3)</f>
        <v>66.666666666666657</v>
      </c>
    </row>
    <row r="33" spans="1:30">
      <c r="A33" s="31">
        <v>7</v>
      </c>
      <c r="B33" s="31">
        <v>3</v>
      </c>
      <c r="C33" s="31">
        <v>5</v>
      </c>
      <c r="D33" s="31">
        <v>2</v>
      </c>
      <c r="E33" s="31">
        <v>5</v>
      </c>
      <c r="F33" s="31">
        <v>4</v>
      </c>
      <c r="G33" s="33">
        <v>5</v>
      </c>
      <c r="H33" s="33">
        <v>1</v>
      </c>
      <c r="I33" s="33">
        <v>2</v>
      </c>
      <c r="J33" s="33">
        <v>7</v>
      </c>
      <c r="K33" s="33">
        <v>4</v>
      </c>
      <c r="L33" s="33">
        <v>1</v>
      </c>
      <c r="M33" s="5"/>
      <c r="N33" s="5"/>
      <c r="O33" s="5"/>
      <c r="P33" s="5"/>
      <c r="Q33" s="5"/>
      <c r="R33" s="39">
        <f t="shared" si="6"/>
        <v>100</v>
      </c>
      <c r="S33" s="39">
        <f t="shared" si="0"/>
        <v>33.333333333333329</v>
      </c>
      <c r="T33" s="39">
        <f t="shared" si="0"/>
        <v>66.666666666666657</v>
      </c>
      <c r="U33" s="39">
        <f t="shared" si="7"/>
        <v>16.666666666666664</v>
      </c>
      <c r="V33" s="39">
        <f t="shared" si="0"/>
        <v>66.666666666666657</v>
      </c>
      <c r="W33" s="39">
        <f t="shared" si="0"/>
        <v>50</v>
      </c>
      <c r="X33" s="69">
        <f t="shared" si="1"/>
        <v>66.666666666666657</v>
      </c>
      <c r="Y33" s="26">
        <f t="shared" si="2"/>
        <v>0</v>
      </c>
      <c r="Z33" s="26">
        <f t="shared" si="3"/>
        <v>16.666666666666664</v>
      </c>
      <c r="AA33" s="26">
        <f t="shared" si="8"/>
        <v>100</v>
      </c>
      <c r="AB33" s="26">
        <f t="shared" si="4"/>
        <v>50</v>
      </c>
      <c r="AC33" s="26">
        <f t="shared" si="5"/>
        <v>0</v>
      </c>
      <c r="AD33" s="5"/>
    </row>
    <row r="34" spans="1:30">
      <c r="A34" s="31">
        <v>6</v>
      </c>
      <c r="B34" s="31">
        <v>5</v>
      </c>
      <c r="C34" s="31">
        <v>3</v>
      </c>
      <c r="D34" s="31">
        <v>6</v>
      </c>
      <c r="E34" s="31">
        <v>5</v>
      </c>
      <c r="F34" s="31">
        <v>3</v>
      </c>
      <c r="G34" s="33">
        <v>5</v>
      </c>
      <c r="H34" s="33">
        <v>4</v>
      </c>
      <c r="I34" s="33">
        <v>4</v>
      </c>
      <c r="J34" s="33">
        <v>6</v>
      </c>
      <c r="K34" s="33">
        <v>5</v>
      </c>
      <c r="L34" s="33">
        <v>5</v>
      </c>
      <c r="M34" s="5"/>
      <c r="N34" s="5"/>
      <c r="O34" s="5"/>
      <c r="P34" s="5"/>
      <c r="Q34" s="5"/>
      <c r="R34" s="39">
        <f t="shared" si="6"/>
        <v>83.333333333333343</v>
      </c>
      <c r="S34" s="39">
        <f t="shared" si="0"/>
        <v>66.666666666666657</v>
      </c>
      <c r="T34" s="39">
        <f t="shared" si="0"/>
        <v>33.333333333333329</v>
      </c>
      <c r="U34" s="39">
        <f t="shared" si="7"/>
        <v>83.333333333333343</v>
      </c>
      <c r="V34" s="39">
        <f t="shared" si="0"/>
        <v>66.666666666666657</v>
      </c>
      <c r="W34" s="39">
        <f t="shared" si="0"/>
        <v>33.333333333333329</v>
      </c>
      <c r="X34" s="69">
        <f t="shared" si="1"/>
        <v>66.666666666666657</v>
      </c>
      <c r="Y34" s="26">
        <f t="shared" si="2"/>
        <v>50</v>
      </c>
      <c r="Z34" s="26">
        <f t="shared" si="3"/>
        <v>50</v>
      </c>
      <c r="AA34" s="26">
        <f t="shared" si="8"/>
        <v>83.333333333333343</v>
      </c>
      <c r="AB34" s="26">
        <f t="shared" si="4"/>
        <v>66.666666666666657</v>
      </c>
      <c r="AC34" s="26">
        <f t="shared" si="5"/>
        <v>66.666666666666657</v>
      </c>
      <c r="AD34" s="5"/>
    </row>
    <row r="35" spans="1:30">
      <c r="A35" s="33">
        <v>5</v>
      </c>
      <c r="B35" s="33">
        <v>5</v>
      </c>
      <c r="C35" s="33">
        <v>3</v>
      </c>
      <c r="D35" s="33">
        <v>5</v>
      </c>
      <c r="E35" s="33">
        <v>5</v>
      </c>
      <c r="F35" s="33">
        <v>5</v>
      </c>
      <c r="G35" s="31">
        <v>3</v>
      </c>
      <c r="H35" s="31">
        <v>2</v>
      </c>
      <c r="I35" s="31">
        <v>2</v>
      </c>
      <c r="J35" s="31">
        <v>5</v>
      </c>
      <c r="K35" s="31">
        <v>4</v>
      </c>
      <c r="L35" s="31">
        <v>4</v>
      </c>
      <c r="M35" s="5"/>
      <c r="N35" s="5"/>
      <c r="O35" s="5"/>
      <c r="P35" s="5"/>
      <c r="Q35" s="5"/>
      <c r="R35" s="39">
        <f t="shared" si="6"/>
        <v>66.666666666666657</v>
      </c>
      <c r="S35" s="39">
        <f t="shared" si="0"/>
        <v>66.666666666666657</v>
      </c>
      <c r="T35" s="39">
        <f t="shared" si="0"/>
        <v>33.333333333333329</v>
      </c>
      <c r="U35" s="39">
        <f t="shared" si="7"/>
        <v>66.666666666666657</v>
      </c>
      <c r="V35" s="39">
        <f t="shared" si="0"/>
        <v>66.666666666666657</v>
      </c>
      <c r="W35" s="39">
        <f t="shared" si="0"/>
        <v>66.666666666666657</v>
      </c>
      <c r="X35" s="69">
        <f t="shared" si="1"/>
        <v>33.333333333333329</v>
      </c>
      <c r="Y35" s="26">
        <f t="shared" si="2"/>
        <v>16.666666666666664</v>
      </c>
      <c r="Z35" s="26">
        <f t="shared" si="3"/>
        <v>16.666666666666664</v>
      </c>
      <c r="AA35" s="26">
        <f t="shared" si="8"/>
        <v>66.666666666666657</v>
      </c>
      <c r="AB35" s="26">
        <f t="shared" si="4"/>
        <v>50</v>
      </c>
      <c r="AC35" s="26">
        <f t="shared" si="5"/>
        <v>50</v>
      </c>
      <c r="AD35" s="5"/>
    </row>
    <row r="36" spans="1:30">
      <c r="A36" s="33">
        <v>2</v>
      </c>
      <c r="B36" s="33">
        <v>2</v>
      </c>
      <c r="C36" s="33">
        <v>1</v>
      </c>
      <c r="D36" s="33">
        <v>3</v>
      </c>
      <c r="E36" s="33">
        <v>5</v>
      </c>
      <c r="F36" s="33">
        <v>4</v>
      </c>
      <c r="G36" s="31">
        <v>3</v>
      </c>
      <c r="H36" s="31">
        <v>3</v>
      </c>
      <c r="I36" s="31">
        <v>1</v>
      </c>
      <c r="J36" s="31">
        <v>3</v>
      </c>
      <c r="K36" s="31">
        <v>5</v>
      </c>
      <c r="L36" s="31">
        <v>3</v>
      </c>
      <c r="M36" s="5"/>
      <c r="N36" s="5"/>
      <c r="O36" s="5"/>
      <c r="P36" s="5"/>
      <c r="Q36" s="5"/>
      <c r="R36" s="39">
        <f t="shared" si="6"/>
        <v>16.666666666666664</v>
      </c>
      <c r="S36" s="39">
        <f t="shared" si="0"/>
        <v>16.666666666666664</v>
      </c>
      <c r="T36" s="39">
        <f t="shared" si="0"/>
        <v>0</v>
      </c>
      <c r="U36" s="39">
        <f t="shared" si="7"/>
        <v>33.333333333333329</v>
      </c>
      <c r="V36" s="39">
        <f t="shared" si="0"/>
        <v>66.666666666666657</v>
      </c>
      <c r="W36" s="39">
        <f t="shared" si="0"/>
        <v>50</v>
      </c>
      <c r="X36" s="69">
        <f t="shared" si="1"/>
        <v>33.333333333333329</v>
      </c>
      <c r="Y36" s="26">
        <f t="shared" si="2"/>
        <v>33.333333333333329</v>
      </c>
      <c r="Z36" s="26">
        <f t="shared" si="3"/>
        <v>0</v>
      </c>
      <c r="AA36" s="26">
        <f t="shared" si="8"/>
        <v>33.333333333333329</v>
      </c>
      <c r="AB36" s="26">
        <f t="shared" si="4"/>
        <v>66.666666666666657</v>
      </c>
      <c r="AC36" s="26">
        <f t="shared" si="5"/>
        <v>33.333333333333329</v>
      </c>
      <c r="AD36" s="5"/>
    </row>
    <row r="37" spans="1:30">
      <c r="A37" s="31">
        <v>2</v>
      </c>
      <c r="B37" s="31">
        <v>2</v>
      </c>
      <c r="C37" s="31">
        <v>3</v>
      </c>
      <c r="D37" s="31">
        <v>3</v>
      </c>
      <c r="E37" s="31">
        <v>5</v>
      </c>
      <c r="F37" s="31">
        <v>2</v>
      </c>
      <c r="G37" s="33">
        <v>3</v>
      </c>
      <c r="H37" s="33">
        <v>5</v>
      </c>
      <c r="I37" s="33">
        <v>2</v>
      </c>
      <c r="J37" s="33">
        <v>5</v>
      </c>
      <c r="K37" s="33">
        <v>5</v>
      </c>
      <c r="L37" s="33">
        <v>2</v>
      </c>
      <c r="M37" s="5"/>
      <c r="N37" s="5"/>
      <c r="O37" s="5"/>
      <c r="P37" s="5"/>
      <c r="Q37" s="5"/>
      <c r="R37" s="39">
        <f t="shared" si="6"/>
        <v>16.666666666666664</v>
      </c>
      <c r="S37" s="39">
        <f t="shared" si="0"/>
        <v>16.666666666666664</v>
      </c>
      <c r="T37" s="39">
        <f t="shared" si="0"/>
        <v>33.333333333333329</v>
      </c>
      <c r="U37" s="39">
        <f t="shared" si="7"/>
        <v>33.333333333333329</v>
      </c>
      <c r="V37" s="39">
        <f t="shared" si="0"/>
        <v>66.666666666666657</v>
      </c>
      <c r="W37" s="39">
        <f t="shared" si="0"/>
        <v>16.666666666666664</v>
      </c>
      <c r="X37" s="69">
        <f t="shared" si="1"/>
        <v>33.333333333333329</v>
      </c>
      <c r="Y37" s="26">
        <f t="shared" si="2"/>
        <v>66.666666666666657</v>
      </c>
      <c r="Z37" s="26">
        <f t="shared" si="3"/>
        <v>16.666666666666664</v>
      </c>
      <c r="AA37" s="26">
        <f t="shared" si="8"/>
        <v>66.666666666666657</v>
      </c>
      <c r="AB37" s="26">
        <f t="shared" si="4"/>
        <v>66.666666666666657</v>
      </c>
      <c r="AC37" s="26">
        <f t="shared" si="5"/>
        <v>16.666666666666664</v>
      </c>
      <c r="AD37" s="5"/>
    </row>
    <row r="38" spans="1:30">
      <c r="A38" s="31">
        <v>3</v>
      </c>
      <c r="B38" s="31">
        <v>2</v>
      </c>
      <c r="C38" s="31">
        <v>4</v>
      </c>
      <c r="D38" s="31">
        <v>6</v>
      </c>
      <c r="E38" s="31">
        <v>3</v>
      </c>
      <c r="F38" s="31">
        <v>2</v>
      </c>
      <c r="G38" s="33">
        <v>6</v>
      </c>
      <c r="H38" s="33">
        <v>2</v>
      </c>
      <c r="I38" s="33">
        <v>4</v>
      </c>
      <c r="J38" s="33">
        <v>3</v>
      </c>
      <c r="K38" s="33">
        <v>3</v>
      </c>
      <c r="L38" s="33">
        <v>4</v>
      </c>
      <c r="M38" s="5"/>
      <c r="N38" s="5"/>
      <c r="O38" s="5"/>
      <c r="P38" s="5"/>
      <c r="Q38" s="5"/>
      <c r="R38" s="39">
        <f t="shared" si="6"/>
        <v>33.333333333333329</v>
      </c>
      <c r="S38" s="39">
        <f t="shared" si="0"/>
        <v>16.666666666666664</v>
      </c>
      <c r="T38" s="39">
        <f t="shared" si="0"/>
        <v>50</v>
      </c>
      <c r="U38" s="39">
        <f t="shared" si="7"/>
        <v>83.333333333333343</v>
      </c>
      <c r="V38" s="39">
        <f t="shared" si="0"/>
        <v>33.333333333333329</v>
      </c>
      <c r="W38" s="39">
        <f t="shared" si="0"/>
        <v>16.666666666666664</v>
      </c>
      <c r="X38" s="69">
        <f t="shared" si="1"/>
        <v>83.333333333333343</v>
      </c>
      <c r="Y38" s="26">
        <f t="shared" si="2"/>
        <v>16.666666666666664</v>
      </c>
      <c r="Z38" s="26">
        <f t="shared" si="3"/>
        <v>50</v>
      </c>
      <c r="AA38" s="26">
        <f t="shared" si="8"/>
        <v>33.333333333333329</v>
      </c>
      <c r="AB38" s="26">
        <f t="shared" si="4"/>
        <v>33.333333333333329</v>
      </c>
      <c r="AC38" s="26">
        <f t="shared" si="5"/>
        <v>50</v>
      </c>
      <c r="AD38" s="5"/>
    </row>
    <row r="39" spans="1:30">
      <c r="A39" s="33">
        <v>2</v>
      </c>
      <c r="B39" s="33">
        <v>2</v>
      </c>
      <c r="C39" s="33">
        <v>2</v>
      </c>
      <c r="D39" s="33">
        <v>7</v>
      </c>
      <c r="E39" s="33">
        <v>2</v>
      </c>
      <c r="F39" s="33">
        <v>4</v>
      </c>
      <c r="G39" s="31">
        <v>3</v>
      </c>
      <c r="H39" s="31">
        <v>2</v>
      </c>
      <c r="I39" s="31">
        <v>3</v>
      </c>
      <c r="J39" s="31">
        <v>5</v>
      </c>
      <c r="K39" s="31">
        <v>3</v>
      </c>
      <c r="L39" s="31">
        <v>4</v>
      </c>
      <c r="M39" s="5"/>
      <c r="N39" s="5"/>
      <c r="O39" s="5"/>
      <c r="P39" s="5"/>
      <c r="Q39" s="5"/>
      <c r="R39" s="39">
        <f t="shared" si="6"/>
        <v>16.666666666666664</v>
      </c>
      <c r="S39" s="39">
        <f t="shared" si="0"/>
        <v>16.666666666666664</v>
      </c>
      <c r="T39" s="39">
        <f t="shared" si="0"/>
        <v>16.666666666666664</v>
      </c>
      <c r="U39" s="39">
        <f t="shared" si="7"/>
        <v>100</v>
      </c>
      <c r="V39" s="39">
        <f t="shared" si="0"/>
        <v>16.666666666666664</v>
      </c>
      <c r="W39" s="39">
        <f t="shared" si="0"/>
        <v>50</v>
      </c>
      <c r="X39" s="69">
        <f t="shared" si="1"/>
        <v>33.333333333333329</v>
      </c>
      <c r="Y39" s="26">
        <f t="shared" si="2"/>
        <v>16.666666666666664</v>
      </c>
      <c r="Z39" s="26">
        <f t="shared" si="3"/>
        <v>33.333333333333329</v>
      </c>
      <c r="AA39" s="26">
        <f t="shared" si="8"/>
        <v>66.666666666666657</v>
      </c>
      <c r="AB39" s="26">
        <f t="shared" si="4"/>
        <v>33.333333333333329</v>
      </c>
      <c r="AC39" s="26">
        <f t="shared" si="5"/>
        <v>50</v>
      </c>
      <c r="AD39" s="5"/>
    </row>
    <row r="40" spans="1:30">
      <c r="A40" s="33">
        <v>6</v>
      </c>
      <c r="B40" s="33">
        <v>3</v>
      </c>
      <c r="C40" s="33">
        <v>3</v>
      </c>
      <c r="D40" s="33">
        <v>5</v>
      </c>
      <c r="E40" s="33">
        <v>4</v>
      </c>
      <c r="F40" s="33">
        <v>3</v>
      </c>
      <c r="G40" s="31">
        <v>5</v>
      </c>
      <c r="H40" s="31">
        <v>1</v>
      </c>
      <c r="I40" s="31">
        <v>2</v>
      </c>
      <c r="J40" s="31">
        <v>6</v>
      </c>
      <c r="K40" s="31">
        <v>2</v>
      </c>
      <c r="L40" s="31">
        <v>1</v>
      </c>
      <c r="M40" s="5"/>
      <c r="N40" s="5"/>
      <c r="O40" s="5"/>
      <c r="P40" s="5"/>
      <c r="Q40" s="5"/>
      <c r="R40" s="39">
        <f t="shared" si="6"/>
        <v>83.333333333333343</v>
      </c>
      <c r="S40" s="39">
        <f t="shared" si="0"/>
        <v>33.333333333333329</v>
      </c>
      <c r="T40" s="39">
        <f t="shared" si="0"/>
        <v>33.333333333333329</v>
      </c>
      <c r="U40" s="39">
        <f t="shared" si="7"/>
        <v>66.666666666666657</v>
      </c>
      <c r="V40" s="39">
        <f t="shared" si="0"/>
        <v>50</v>
      </c>
      <c r="W40" s="39">
        <f t="shared" si="0"/>
        <v>33.333333333333329</v>
      </c>
      <c r="X40" s="69">
        <f t="shared" si="1"/>
        <v>66.666666666666657</v>
      </c>
      <c r="Y40" s="26">
        <f t="shared" si="2"/>
        <v>0</v>
      </c>
      <c r="Z40" s="26">
        <f t="shared" si="3"/>
        <v>16.666666666666664</v>
      </c>
      <c r="AA40" s="26">
        <f t="shared" si="8"/>
        <v>83.333333333333343</v>
      </c>
      <c r="AB40" s="26">
        <f t="shared" si="4"/>
        <v>16.666666666666664</v>
      </c>
      <c r="AC40" s="26">
        <f t="shared" si="5"/>
        <v>0</v>
      </c>
      <c r="AD40" s="5"/>
    </row>
    <row r="41" spans="1:30">
      <c r="A41" s="31">
        <v>2</v>
      </c>
      <c r="B41" s="31">
        <v>2</v>
      </c>
      <c r="C41" s="31">
        <v>3</v>
      </c>
      <c r="D41" s="31">
        <v>6</v>
      </c>
      <c r="E41" s="31">
        <v>3</v>
      </c>
      <c r="F41" s="31">
        <v>2</v>
      </c>
      <c r="G41" s="33">
        <v>2</v>
      </c>
      <c r="H41" s="33">
        <v>1</v>
      </c>
      <c r="I41" s="33">
        <v>2</v>
      </c>
      <c r="J41" s="33">
        <v>6</v>
      </c>
      <c r="K41" s="33">
        <v>3</v>
      </c>
      <c r="L41" s="33">
        <v>3</v>
      </c>
      <c r="M41" s="5"/>
      <c r="N41" s="5"/>
      <c r="O41" s="5"/>
      <c r="P41" s="5"/>
      <c r="Q41" s="5"/>
      <c r="R41" s="39">
        <f t="shared" si="6"/>
        <v>16.666666666666664</v>
      </c>
      <c r="S41" s="39">
        <f t="shared" si="0"/>
        <v>16.666666666666664</v>
      </c>
      <c r="T41" s="39">
        <f t="shared" si="0"/>
        <v>33.333333333333329</v>
      </c>
      <c r="U41" s="39">
        <f t="shared" si="7"/>
        <v>83.333333333333343</v>
      </c>
      <c r="V41" s="39">
        <f t="shared" si="0"/>
        <v>33.333333333333329</v>
      </c>
      <c r="W41" s="39">
        <f t="shared" si="0"/>
        <v>16.666666666666664</v>
      </c>
      <c r="X41" s="69">
        <f t="shared" si="1"/>
        <v>16.666666666666664</v>
      </c>
      <c r="Y41" s="26">
        <f t="shared" si="2"/>
        <v>0</v>
      </c>
      <c r="Z41" s="26">
        <f t="shared" si="3"/>
        <v>16.666666666666664</v>
      </c>
      <c r="AA41" s="26">
        <f t="shared" si="8"/>
        <v>83.333333333333343</v>
      </c>
      <c r="AB41" s="26">
        <f t="shared" si="4"/>
        <v>33.333333333333329</v>
      </c>
      <c r="AC41" s="26">
        <f t="shared" si="5"/>
        <v>33.333333333333329</v>
      </c>
      <c r="AD41" s="5"/>
    </row>
    <row r="42" spans="1:30">
      <c r="A42" s="31">
        <v>6</v>
      </c>
      <c r="B42" s="31">
        <v>2</v>
      </c>
      <c r="C42" s="31">
        <v>2</v>
      </c>
      <c r="D42" s="31">
        <v>5</v>
      </c>
      <c r="E42" s="31">
        <v>6</v>
      </c>
      <c r="F42" s="31">
        <v>4</v>
      </c>
      <c r="G42" s="33">
        <v>5</v>
      </c>
      <c r="H42" s="33">
        <v>5</v>
      </c>
      <c r="I42" s="33">
        <v>1</v>
      </c>
      <c r="J42" s="33">
        <v>3</v>
      </c>
      <c r="K42" s="33">
        <v>5</v>
      </c>
      <c r="L42" s="33">
        <v>4</v>
      </c>
      <c r="M42" s="5"/>
      <c r="N42" s="5"/>
      <c r="O42" s="5"/>
      <c r="P42" s="5"/>
      <c r="Q42" s="5"/>
      <c r="R42" s="39">
        <f t="shared" si="6"/>
        <v>83.333333333333343</v>
      </c>
      <c r="S42" s="39">
        <f t="shared" si="0"/>
        <v>16.666666666666664</v>
      </c>
      <c r="T42" s="39">
        <f t="shared" si="0"/>
        <v>16.666666666666664</v>
      </c>
      <c r="U42" s="39">
        <f t="shared" si="7"/>
        <v>66.666666666666657</v>
      </c>
      <c r="V42" s="39">
        <f t="shared" si="0"/>
        <v>83.333333333333343</v>
      </c>
      <c r="W42" s="39">
        <f t="shared" si="0"/>
        <v>50</v>
      </c>
      <c r="X42" s="69">
        <f t="shared" si="1"/>
        <v>66.666666666666657</v>
      </c>
      <c r="Y42" s="26">
        <f t="shared" si="2"/>
        <v>66.666666666666657</v>
      </c>
      <c r="Z42" s="26">
        <f t="shared" si="3"/>
        <v>0</v>
      </c>
      <c r="AA42" s="26">
        <f t="shared" si="8"/>
        <v>33.333333333333329</v>
      </c>
      <c r="AB42" s="26">
        <f t="shared" si="4"/>
        <v>66.666666666666657</v>
      </c>
      <c r="AC42" s="26">
        <f t="shared" si="5"/>
        <v>50</v>
      </c>
      <c r="AD42" s="5"/>
    </row>
    <row r="43" spans="1:30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40" t="s">
        <v>81</v>
      </c>
      <c r="S43" s="40" t="s">
        <v>82</v>
      </c>
      <c r="T43" s="40" t="s">
        <v>83</v>
      </c>
      <c r="U43" s="40" t="s">
        <v>84</v>
      </c>
      <c r="V43" s="40" t="s">
        <v>85</v>
      </c>
      <c r="W43" s="40" t="s">
        <v>86</v>
      </c>
      <c r="X43" s="27" t="s">
        <v>81</v>
      </c>
      <c r="Y43" s="27" t="s">
        <v>82</v>
      </c>
      <c r="Z43" s="27" t="s">
        <v>83</v>
      </c>
      <c r="AA43" s="27" t="s">
        <v>84</v>
      </c>
      <c r="AB43" s="27" t="s">
        <v>85</v>
      </c>
      <c r="AC43" s="27" t="s">
        <v>86</v>
      </c>
      <c r="AD43" s="5"/>
    </row>
    <row r="44" spans="1:30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>
      <c r="A45" s="6" t="s">
        <v>194</v>
      </c>
      <c r="B45" s="6" t="s">
        <v>156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41" t="s">
        <v>195</v>
      </c>
      <c r="S45" s="41"/>
      <c r="T45" s="41">
        <f>SUM(R27:W27)/6</f>
        <v>38.888888888888886</v>
      </c>
      <c r="U45" s="5"/>
      <c r="V45" s="5"/>
      <c r="W45" s="5"/>
      <c r="X45" s="42" t="s">
        <v>196</v>
      </c>
      <c r="Y45" s="42"/>
      <c r="Z45" s="42">
        <f>SUM(X27:AC27)/6</f>
        <v>47.222222222222221</v>
      </c>
      <c r="AA45" s="5"/>
      <c r="AB45" s="5"/>
      <c r="AC45" s="5"/>
      <c r="AD45" s="5"/>
    </row>
    <row r="46" spans="1:30">
      <c r="A46" s="6">
        <f>T45-Z45</f>
        <v>-8.3333333333333357</v>
      </c>
      <c r="B46" s="6">
        <v>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41"/>
      <c r="S46" s="41"/>
      <c r="T46" s="41">
        <f>SUM(R28:W28)/6</f>
        <v>41.666666666666664</v>
      </c>
      <c r="U46" s="5"/>
      <c r="V46" s="5"/>
      <c r="W46" s="5"/>
      <c r="X46" s="42"/>
      <c r="Y46" s="42"/>
      <c r="Z46" s="42">
        <f t="shared" ref="Z46:Z60" si="9">SUM(X28:AC28)/6</f>
        <v>52.777777777777771</v>
      </c>
      <c r="AA46" s="5"/>
      <c r="AB46" s="5"/>
      <c r="AC46" s="5"/>
      <c r="AD46" s="5"/>
    </row>
    <row r="47" spans="1:30">
      <c r="A47" s="6">
        <f>T46-Z46</f>
        <v>-11.111111111111107</v>
      </c>
      <c r="B47" s="6">
        <v>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41"/>
      <c r="S47" s="41"/>
      <c r="T47" s="41">
        <f t="shared" ref="T46:T60" si="10">SUM(R29:W29)/6</f>
        <v>41.666666666666671</v>
      </c>
      <c r="U47" s="5"/>
      <c r="V47" s="5"/>
      <c r="W47" s="5"/>
      <c r="X47" s="42"/>
      <c r="Y47" s="42"/>
      <c r="Z47" s="42">
        <f t="shared" si="9"/>
        <v>36.111111111111107</v>
      </c>
      <c r="AA47" s="5"/>
      <c r="AB47" s="5"/>
      <c r="AC47" s="5"/>
      <c r="AD47" s="5"/>
    </row>
    <row r="48" spans="1:30">
      <c r="A48" s="6">
        <f>T47-Z47</f>
        <v>5.5555555555555642</v>
      </c>
      <c r="B48" s="6">
        <v>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41"/>
      <c r="S48" s="41"/>
      <c r="T48" s="41">
        <f t="shared" si="10"/>
        <v>55.55555555555555</v>
      </c>
      <c r="U48" s="5"/>
      <c r="V48" s="5"/>
      <c r="W48" s="5"/>
      <c r="X48" s="42"/>
      <c r="Y48" s="42"/>
      <c r="Z48" s="42">
        <f t="shared" si="9"/>
        <v>52.777777777777771</v>
      </c>
      <c r="AA48" s="5"/>
      <c r="AB48" s="5"/>
      <c r="AC48" s="5"/>
      <c r="AD48" s="5"/>
    </row>
    <row r="49" spans="1:26">
      <c r="A49" s="6">
        <f>T48-Z48</f>
        <v>2.7777777777777786</v>
      </c>
      <c r="B49" s="6">
        <v>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41"/>
      <c r="S49" s="41"/>
      <c r="T49" s="41">
        <f t="shared" si="10"/>
        <v>47.222222222222221</v>
      </c>
      <c r="U49" s="5"/>
      <c r="V49" s="5"/>
      <c r="W49" s="5"/>
      <c r="X49" s="42"/>
      <c r="Y49" s="42"/>
      <c r="Z49" s="42">
        <f t="shared" si="9"/>
        <v>52.777777777777771</v>
      </c>
    </row>
    <row r="50" spans="1:26">
      <c r="A50" s="6">
        <f>T49-Z49</f>
        <v>-5.55555555555555</v>
      </c>
      <c r="B50" s="6">
        <v>5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41"/>
      <c r="S50" s="41"/>
      <c r="T50" s="41">
        <f t="shared" si="10"/>
        <v>66.666666666666671</v>
      </c>
      <c r="U50" s="5"/>
      <c r="V50" s="5"/>
      <c r="W50" s="5"/>
      <c r="X50" s="42"/>
      <c r="Y50" s="42"/>
      <c r="Z50" s="42">
        <f t="shared" si="9"/>
        <v>41.666666666666664</v>
      </c>
    </row>
    <row r="51" spans="1:26">
      <c r="A51" s="6">
        <f>T50-Z50</f>
        <v>25.000000000000007</v>
      </c>
      <c r="B51" s="6">
        <v>6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41"/>
      <c r="S51" s="41"/>
      <c r="T51" s="41">
        <f t="shared" si="10"/>
        <v>55.555555555555543</v>
      </c>
      <c r="U51" s="5"/>
      <c r="V51" s="5"/>
      <c r="W51" s="5"/>
      <c r="X51" s="42"/>
      <c r="Y51" s="42"/>
      <c r="Z51" s="42">
        <f t="shared" si="9"/>
        <v>38.888888888888886</v>
      </c>
    </row>
    <row r="52" spans="1:26">
      <c r="A52" s="6">
        <f>T51-Z51</f>
        <v>16.666666666666657</v>
      </c>
      <c r="B52" s="6">
        <v>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41"/>
      <c r="S52" s="41"/>
      <c r="T52" s="41">
        <f t="shared" si="10"/>
        <v>61.111111111111093</v>
      </c>
      <c r="U52" s="5"/>
      <c r="V52" s="5"/>
      <c r="W52" s="5"/>
      <c r="X52" s="42"/>
      <c r="Y52" s="42"/>
      <c r="Z52" s="42">
        <f t="shared" si="9"/>
        <v>63.888888888888879</v>
      </c>
    </row>
    <row r="53" spans="1:26">
      <c r="A53" s="6">
        <f>T52-Z52</f>
        <v>-2.7777777777777857</v>
      </c>
      <c r="B53" s="6">
        <v>8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41"/>
      <c r="S53" s="41"/>
      <c r="T53" s="41">
        <f t="shared" si="10"/>
        <v>61.111111111111107</v>
      </c>
      <c r="U53" s="5"/>
      <c r="V53" s="5"/>
      <c r="W53" s="5"/>
      <c r="X53" s="42"/>
      <c r="Y53" s="42"/>
      <c r="Z53" s="42">
        <f t="shared" si="9"/>
        <v>38.888888888888886</v>
      </c>
    </row>
    <row r="54" spans="1:26">
      <c r="A54" s="6">
        <f>T53-Z53</f>
        <v>22.222222222222221</v>
      </c>
      <c r="B54" s="6">
        <v>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41"/>
      <c r="S54" s="41"/>
      <c r="T54" s="41">
        <f t="shared" si="10"/>
        <v>30.555555555555554</v>
      </c>
      <c r="U54" s="5"/>
      <c r="V54" s="5"/>
      <c r="W54" s="5"/>
      <c r="X54" s="42"/>
      <c r="Y54" s="42"/>
      <c r="Z54" s="42">
        <f t="shared" si="9"/>
        <v>33.333333333333321</v>
      </c>
    </row>
    <row r="55" spans="1:26">
      <c r="A55" s="6">
        <f>T54-Z54</f>
        <v>-2.7777777777777679</v>
      </c>
      <c r="B55" s="6">
        <v>10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41"/>
      <c r="S55" s="41"/>
      <c r="T55" s="41">
        <f t="shared" si="10"/>
        <v>30.555555555555546</v>
      </c>
      <c r="U55" s="5"/>
      <c r="V55" s="5"/>
      <c r="W55" s="5"/>
      <c r="X55" s="42"/>
      <c r="Y55" s="42"/>
      <c r="Z55" s="42">
        <f t="shared" si="9"/>
        <v>44.444444444444436</v>
      </c>
    </row>
    <row r="56" spans="1:26">
      <c r="A56" s="6">
        <f>T55-Z55</f>
        <v>-13.888888888888889</v>
      </c>
      <c r="B56" s="6">
        <v>11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41"/>
      <c r="S56" s="41"/>
      <c r="T56" s="41">
        <f t="shared" si="10"/>
        <v>38.888888888888893</v>
      </c>
      <c r="U56" s="5"/>
      <c r="V56" s="5"/>
      <c r="W56" s="5"/>
      <c r="X56" s="42"/>
      <c r="Y56" s="42"/>
      <c r="Z56" s="42">
        <f t="shared" si="9"/>
        <v>44.444444444444436</v>
      </c>
    </row>
    <row r="57" spans="1:26">
      <c r="A57" s="6">
        <f>T56-Z56</f>
        <v>-5.5555555555555429</v>
      </c>
      <c r="B57" s="6">
        <v>12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41"/>
      <c r="S57" s="41"/>
      <c r="T57" s="41">
        <f t="shared" si="10"/>
        <v>36.111111111111107</v>
      </c>
      <c r="U57" s="5"/>
      <c r="V57" s="5"/>
      <c r="W57" s="5"/>
      <c r="X57" s="42"/>
      <c r="Y57" s="42"/>
      <c r="Z57" s="42">
        <f t="shared" si="9"/>
        <v>38.888888888888886</v>
      </c>
    </row>
    <row r="58" spans="1:26">
      <c r="A58" s="6">
        <f>T57-Z57</f>
        <v>-2.7777777777777786</v>
      </c>
      <c r="B58" s="6">
        <v>13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41"/>
      <c r="S58" s="41"/>
      <c r="T58" s="41">
        <f t="shared" si="10"/>
        <v>49.999999999999993</v>
      </c>
      <c r="U58" s="5"/>
      <c r="V58" s="5"/>
      <c r="W58" s="5"/>
      <c r="X58" s="42"/>
      <c r="Y58" s="42"/>
      <c r="Z58" s="42">
        <f t="shared" si="9"/>
        <v>30.555555555555554</v>
      </c>
    </row>
    <row r="59" spans="1:26">
      <c r="A59" s="6">
        <f>T58-Z58</f>
        <v>19.444444444444439</v>
      </c>
      <c r="B59" s="6">
        <v>14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41"/>
      <c r="S59" s="41"/>
      <c r="T59" s="41">
        <f t="shared" si="10"/>
        <v>33.333333333333329</v>
      </c>
      <c r="U59" s="5"/>
      <c r="V59" s="5"/>
      <c r="W59" s="5"/>
      <c r="X59" s="42"/>
      <c r="Y59" s="42"/>
      <c r="Z59" s="42">
        <f t="shared" si="9"/>
        <v>30.555555555555554</v>
      </c>
    </row>
    <row r="60" spans="1:26">
      <c r="A60" s="6">
        <f>T59-Z59</f>
        <v>2.777777777777775</v>
      </c>
      <c r="B60" s="6">
        <v>15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41"/>
      <c r="S60" s="41"/>
      <c r="T60" s="41">
        <f t="shared" si="10"/>
        <v>52.777777777777771</v>
      </c>
      <c r="U60" s="5"/>
      <c r="V60" s="5"/>
      <c r="W60" s="5"/>
      <c r="X60" s="42"/>
      <c r="Y60" s="42"/>
      <c r="Z60" s="42">
        <f t="shared" si="9"/>
        <v>47.222222222222207</v>
      </c>
    </row>
    <row r="61" spans="1:26">
      <c r="A61" s="6">
        <f>T60-Z60</f>
        <v>5.5555555555555642</v>
      </c>
      <c r="B61" s="6">
        <v>16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43" t="s">
        <v>197</v>
      </c>
      <c r="S61" s="43"/>
      <c r="T61" s="43">
        <f>AVERAGE(T45:T60)</f>
        <v>46.354166666666671</v>
      </c>
      <c r="U61" s="5"/>
      <c r="V61" s="5"/>
      <c r="W61" s="5"/>
      <c r="X61" s="43" t="s">
        <v>197</v>
      </c>
      <c r="Y61" s="43"/>
      <c r="Z61" s="43">
        <f>AVERAGE(Z45:Z60)</f>
        <v>43.402777777777764</v>
      </c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 t="s">
        <v>198</v>
      </c>
      <c r="S62" s="5"/>
      <c r="T62" s="5">
        <f>_xlfn.STDEV.S(T45:T60)</f>
        <v>11.552294322567494</v>
      </c>
      <c r="U62" s="5"/>
      <c r="V62" s="5"/>
      <c r="W62" s="5"/>
      <c r="X62" s="5" t="s">
        <v>198</v>
      </c>
      <c r="Y62" s="5"/>
      <c r="Z62" s="5">
        <f>_xlfn.STDEV.S(Z45:Z60)</f>
        <v>9.1778831488884602</v>
      </c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0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1:20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spans="1:20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1:20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spans="1:20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spans="1:2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spans="1:20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spans="1:20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spans="1:20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spans="1:20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spans="1:20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spans="1:20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spans="1:20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spans="1:20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spans="1:20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spans="1:2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spans="1:3">
      <c r="A81" s="5"/>
      <c r="B81" s="5"/>
      <c r="C81" s="5"/>
    </row>
    <row r="82" spans="1:3">
      <c r="A82" s="5"/>
      <c r="B82" s="5"/>
      <c r="C82" s="5"/>
    </row>
    <row r="83" spans="1:3">
      <c r="A83" s="5"/>
      <c r="B83" s="5"/>
      <c r="C83" s="5"/>
    </row>
    <row r="84" spans="1:3">
      <c r="A84" s="5"/>
      <c r="B84" s="5"/>
      <c r="C84" s="5"/>
    </row>
    <row r="85" spans="1:3">
      <c r="A85" s="5"/>
      <c r="B85" s="5"/>
      <c r="C85" s="5"/>
    </row>
    <row r="86" spans="1:3">
      <c r="A86" s="5"/>
      <c r="B86" s="5"/>
      <c r="C86" s="5"/>
    </row>
    <row r="87" spans="1:3">
      <c r="A87" s="5"/>
      <c r="B87" s="5"/>
      <c r="C87" s="5"/>
    </row>
    <row r="88" spans="1:3">
      <c r="A88" s="5"/>
      <c r="B88" s="5"/>
      <c r="C88" s="5"/>
    </row>
    <row r="89" spans="1:3">
      <c r="A89" s="5"/>
      <c r="B89" s="5"/>
      <c r="C89" s="5"/>
    </row>
    <row r="90" spans="1:3">
      <c r="A90" s="5"/>
      <c r="B90" s="5"/>
      <c r="C90" s="5"/>
    </row>
    <row r="91" spans="1:3">
      <c r="A91" s="5"/>
      <c r="B91" s="5"/>
      <c r="C91" s="5"/>
    </row>
  </sheetData>
  <mergeCells count="4">
    <mergeCell ref="A26:F26"/>
    <mergeCell ref="G26:L26"/>
    <mergeCell ref="R26:W26"/>
    <mergeCell ref="X26:AC2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C2389-B0ED-42DF-B567-6C762B7FF3F2}">
  <dimension ref="A1:Q41"/>
  <sheetViews>
    <sheetView topLeftCell="D18" workbookViewId="0">
      <selection activeCell="M32" sqref="M32"/>
    </sheetView>
  </sheetViews>
  <sheetFormatPr defaultRowHeight="12.75"/>
  <cols>
    <col min="2" max="2" width="16.85546875" customWidth="1"/>
    <col min="3" max="3" width="21.42578125" customWidth="1"/>
    <col min="4" max="4" width="14.28515625" customWidth="1"/>
    <col min="5" max="6" width="13" customWidth="1"/>
    <col min="7" max="7" width="13.7109375" customWidth="1"/>
    <col min="8" max="8" width="16.5703125" customWidth="1"/>
    <col min="9" max="9" width="16.42578125" customWidth="1"/>
    <col min="10" max="10" width="15.5703125" customWidth="1"/>
    <col min="11" max="11" width="22.140625" customWidth="1"/>
    <col min="12" max="12" width="10.85546875" customWidth="1"/>
  </cols>
  <sheetData>
    <row r="1" spans="1:17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>
      <c r="A3" s="98" t="s">
        <v>188</v>
      </c>
      <c r="B3" s="98"/>
      <c r="C3" s="98"/>
      <c r="D3" s="98"/>
      <c r="E3" s="98"/>
      <c r="F3" s="98"/>
      <c r="G3" s="98"/>
      <c r="H3" s="98"/>
      <c r="I3" s="5"/>
      <c r="J3" s="5"/>
      <c r="K3" s="6"/>
      <c r="L3" s="6"/>
      <c r="M3" s="6"/>
      <c r="N3" s="6"/>
      <c r="O3" s="5"/>
      <c r="P3" s="5"/>
      <c r="Q3" s="5"/>
    </row>
    <row r="4" spans="1:17">
      <c r="A4" s="5" t="s">
        <v>199</v>
      </c>
      <c r="B4" s="5" t="s">
        <v>200</v>
      </c>
      <c r="C4" s="5" t="s">
        <v>201</v>
      </c>
      <c r="D4" s="5" t="s">
        <v>202</v>
      </c>
      <c r="E4" s="5" t="s">
        <v>203</v>
      </c>
      <c r="F4" s="5" t="s">
        <v>204</v>
      </c>
      <c r="G4" s="5" t="s">
        <v>205</v>
      </c>
      <c r="H4" s="5" t="s">
        <v>206</v>
      </c>
      <c r="I4" s="5" t="s">
        <v>207</v>
      </c>
      <c r="J4" s="5" t="s">
        <v>208</v>
      </c>
      <c r="K4" s="6" t="s">
        <v>209</v>
      </c>
      <c r="L4" s="6" t="s">
        <v>164</v>
      </c>
      <c r="M4" s="6" t="s">
        <v>210</v>
      </c>
      <c r="N4" s="6" t="s">
        <v>198</v>
      </c>
      <c r="O4" s="6" t="s">
        <v>188</v>
      </c>
      <c r="P4" s="6" t="s">
        <v>189</v>
      </c>
      <c r="Q4" s="5"/>
    </row>
    <row r="5" spans="1:17">
      <c r="A5" s="5">
        <v>1</v>
      </c>
      <c r="B5" s="42">
        <v>6</v>
      </c>
      <c r="C5" s="42">
        <v>0</v>
      </c>
      <c r="D5" s="42">
        <v>1</v>
      </c>
      <c r="E5" s="42">
        <v>3</v>
      </c>
      <c r="F5" s="42">
        <v>2</v>
      </c>
      <c r="G5" s="42">
        <v>2</v>
      </c>
      <c r="H5" s="42">
        <v>1</v>
      </c>
      <c r="I5" s="42">
        <v>6</v>
      </c>
      <c r="J5" s="42">
        <v>6</v>
      </c>
      <c r="K5" s="6">
        <f>SUM(B5:J5)</f>
        <v>27</v>
      </c>
      <c r="L5" s="6">
        <f>AVERAGE(K5:K19)</f>
        <v>46.866666666666667</v>
      </c>
      <c r="M5" s="6">
        <f>_xlfn.VAR.S(K5:K19)</f>
        <v>558.40952380952353</v>
      </c>
      <c r="N5" s="6">
        <f>_xlfn.STDEV.S(K5:K19)</f>
        <v>23.630690294816262</v>
      </c>
      <c r="O5" s="6">
        <v>27</v>
      </c>
      <c r="P5" s="6">
        <v>25</v>
      </c>
      <c r="Q5" s="5"/>
    </row>
    <row r="6" spans="1:17">
      <c r="A6" s="5">
        <v>2</v>
      </c>
      <c r="B6" s="45">
        <v>4</v>
      </c>
      <c r="C6" s="45">
        <v>0</v>
      </c>
      <c r="D6" s="45">
        <v>6</v>
      </c>
      <c r="E6" s="45">
        <v>4</v>
      </c>
      <c r="F6" s="45">
        <v>4</v>
      </c>
      <c r="G6" s="45">
        <v>3</v>
      </c>
      <c r="H6" s="45">
        <v>1</v>
      </c>
      <c r="I6" s="45">
        <v>16</v>
      </c>
      <c r="J6" s="45">
        <v>20</v>
      </c>
      <c r="K6" s="6">
        <f>SUM(B6:J6)</f>
        <v>58</v>
      </c>
      <c r="L6" s="6"/>
      <c r="M6" s="6"/>
      <c r="N6" s="6"/>
      <c r="O6" s="6">
        <v>58</v>
      </c>
      <c r="P6" s="6">
        <v>33</v>
      </c>
      <c r="Q6" s="5"/>
    </row>
    <row r="7" spans="1:17">
      <c r="A7" s="5">
        <v>3</v>
      </c>
      <c r="B7" s="45">
        <v>5</v>
      </c>
      <c r="C7" s="45">
        <v>0</v>
      </c>
      <c r="D7" s="45">
        <v>2</v>
      </c>
      <c r="E7" s="45">
        <v>4</v>
      </c>
      <c r="F7" s="45">
        <v>4</v>
      </c>
      <c r="G7" s="45">
        <v>2</v>
      </c>
      <c r="H7" s="45">
        <v>1</v>
      </c>
      <c r="I7" s="45">
        <v>30</v>
      </c>
      <c r="J7" s="45">
        <v>7</v>
      </c>
      <c r="K7" s="6">
        <f t="shared" ref="K7:K11" si="0">SUM(B7:J7)</f>
        <v>55</v>
      </c>
      <c r="L7" s="6"/>
      <c r="M7" s="6"/>
      <c r="N7" s="6"/>
      <c r="O7" s="6">
        <v>55</v>
      </c>
      <c r="P7" s="6">
        <v>19</v>
      </c>
      <c r="Q7" s="5"/>
    </row>
    <row r="8" spans="1:17">
      <c r="A8" s="5">
        <v>4</v>
      </c>
      <c r="B8" s="42">
        <v>10</v>
      </c>
      <c r="C8" s="42">
        <v>0</v>
      </c>
      <c r="D8" s="42">
        <v>9</v>
      </c>
      <c r="E8" s="42">
        <v>4</v>
      </c>
      <c r="F8" s="42">
        <v>8</v>
      </c>
      <c r="G8" s="42">
        <v>4</v>
      </c>
      <c r="H8" s="42">
        <v>1</v>
      </c>
      <c r="I8" s="42">
        <v>30</v>
      </c>
      <c r="J8" s="42">
        <v>21</v>
      </c>
      <c r="K8" s="6">
        <f t="shared" si="0"/>
        <v>87</v>
      </c>
      <c r="L8" s="6"/>
      <c r="M8" s="6"/>
      <c r="N8" s="6"/>
      <c r="O8" s="6">
        <v>87</v>
      </c>
      <c r="P8" s="6">
        <v>91</v>
      </c>
      <c r="Q8" s="5"/>
    </row>
    <row r="9" spans="1:17">
      <c r="A9" s="5">
        <v>5</v>
      </c>
      <c r="B9" s="42">
        <v>11</v>
      </c>
      <c r="C9" s="42">
        <v>0</v>
      </c>
      <c r="D9" s="42">
        <v>0</v>
      </c>
      <c r="E9" s="42">
        <v>0</v>
      </c>
      <c r="F9" s="42">
        <v>0</v>
      </c>
      <c r="G9" s="42">
        <v>0</v>
      </c>
      <c r="H9" s="42">
        <v>1</v>
      </c>
      <c r="I9" s="42">
        <v>14</v>
      </c>
      <c r="J9" s="42">
        <v>17</v>
      </c>
      <c r="K9" s="6">
        <f t="shared" si="0"/>
        <v>43</v>
      </c>
      <c r="L9" s="6"/>
      <c r="M9" s="6"/>
      <c r="N9" s="6"/>
      <c r="O9" s="6">
        <v>43</v>
      </c>
      <c r="P9" s="6">
        <v>28</v>
      </c>
      <c r="Q9" s="5"/>
    </row>
    <row r="10" spans="1:17">
      <c r="A10" s="5">
        <v>6</v>
      </c>
      <c r="B10" s="45">
        <v>2</v>
      </c>
      <c r="C10" s="45">
        <v>1</v>
      </c>
      <c r="D10" s="45">
        <v>9</v>
      </c>
      <c r="E10" s="45">
        <v>2</v>
      </c>
      <c r="F10" s="45">
        <v>2</v>
      </c>
      <c r="G10" s="45">
        <v>4</v>
      </c>
      <c r="H10" s="45">
        <v>2</v>
      </c>
      <c r="I10" s="45">
        <v>31</v>
      </c>
      <c r="J10" s="45">
        <v>31</v>
      </c>
      <c r="K10" s="6">
        <f t="shared" si="0"/>
        <v>84</v>
      </c>
      <c r="L10" s="6"/>
      <c r="M10" s="6"/>
      <c r="N10" s="6"/>
      <c r="O10" s="6">
        <v>84</v>
      </c>
      <c r="P10" s="6">
        <v>32</v>
      </c>
      <c r="Q10" s="5"/>
    </row>
    <row r="11" spans="1:17">
      <c r="A11" s="5">
        <v>7</v>
      </c>
      <c r="B11" s="45">
        <v>2</v>
      </c>
      <c r="C11" s="45">
        <v>0</v>
      </c>
      <c r="D11" s="45">
        <v>4</v>
      </c>
      <c r="E11" s="45">
        <v>7</v>
      </c>
      <c r="F11" s="45">
        <v>6</v>
      </c>
      <c r="G11" s="45">
        <v>8</v>
      </c>
      <c r="H11" s="45">
        <v>1</v>
      </c>
      <c r="I11" s="45">
        <v>33</v>
      </c>
      <c r="J11" s="45">
        <v>10</v>
      </c>
      <c r="K11" s="6">
        <f t="shared" si="0"/>
        <v>71</v>
      </c>
      <c r="L11" s="6"/>
      <c r="M11" s="6"/>
      <c r="N11" s="6"/>
      <c r="O11" s="6">
        <v>71</v>
      </c>
      <c r="P11" s="6">
        <v>18</v>
      </c>
      <c r="Q11" s="5"/>
    </row>
    <row r="12" spans="1:17">
      <c r="A12" s="5">
        <v>9</v>
      </c>
      <c r="B12" s="42">
        <v>0</v>
      </c>
      <c r="C12" s="42">
        <v>0</v>
      </c>
      <c r="D12" s="42">
        <v>0</v>
      </c>
      <c r="E12" s="42">
        <v>0</v>
      </c>
      <c r="F12" s="42">
        <v>0</v>
      </c>
      <c r="G12" s="42">
        <v>0</v>
      </c>
      <c r="H12" s="42">
        <v>1</v>
      </c>
      <c r="I12" s="42">
        <v>7</v>
      </c>
      <c r="J12" s="42">
        <v>5</v>
      </c>
      <c r="K12" s="6">
        <f>SUM(B12:J12)</f>
        <v>13</v>
      </c>
      <c r="L12" s="6"/>
      <c r="M12" s="6"/>
      <c r="N12" s="6"/>
      <c r="O12" s="6">
        <v>13</v>
      </c>
      <c r="P12" s="6">
        <v>25</v>
      </c>
      <c r="Q12" s="5"/>
    </row>
    <row r="13" spans="1:17">
      <c r="A13" s="5">
        <v>10</v>
      </c>
      <c r="B13" s="45">
        <v>0</v>
      </c>
      <c r="C13" s="45">
        <v>0</v>
      </c>
      <c r="D13" s="45">
        <v>0</v>
      </c>
      <c r="E13" s="45">
        <v>0</v>
      </c>
      <c r="F13" s="45">
        <v>0</v>
      </c>
      <c r="G13" s="45">
        <v>0</v>
      </c>
      <c r="H13" s="45">
        <v>1</v>
      </c>
      <c r="I13" s="45">
        <v>13</v>
      </c>
      <c r="J13" s="45">
        <v>8</v>
      </c>
      <c r="K13" s="6">
        <f>SUM(B13:J13)</f>
        <v>22</v>
      </c>
      <c r="L13" s="6"/>
      <c r="M13" s="6"/>
      <c r="N13" s="6"/>
      <c r="O13" s="6">
        <v>22</v>
      </c>
      <c r="P13" s="6">
        <v>48</v>
      </c>
      <c r="Q13" s="5"/>
    </row>
    <row r="14" spans="1:17">
      <c r="A14" s="5">
        <v>11</v>
      </c>
      <c r="B14" s="45">
        <v>8</v>
      </c>
      <c r="C14" s="45">
        <v>2</v>
      </c>
      <c r="D14" s="45">
        <v>4</v>
      </c>
      <c r="E14" s="45">
        <v>2</v>
      </c>
      <c r="F14" s="45">
        <v>3</v>
      </c>
      <c r="G14" s="45">
        <v>3</v>
      </c>
      <c r="H14" s="45">
        <v>3</v>
      </c>
      <c r="I14" s="45">
        <v>38</v>
      </c>
      <c r="J14" s="45">
        <v>8</v>
      </c>
      <c r="K14" s="6">
        <f>SUM(B14:J14)</f>
        <v>71</v>
      </c>
      <c r="L14" s="6"/>
      <c r="M14" s="6"/>
      <c r="N14" s="6"/>
      <c r="O14" s="6">
        <v>71</v>
      </c>
      <c r="P14" s="6">
        <v>42</v>
      </c>
      <c r="Q14" s="5"/>
    </row>
    <row r="15" spans="1:17">
      <c r="A15" s="5">
        <v>12</v>
      </c>
      <c r="B15" s="42">
        <v>4</v>
      </c>
      <c r="C15" s="42">
        <v>1</v>
      </c>
      <c r="D15" s="42">
        <v>0</v>
      </c>
      <c r="E15" s="42">
        <v>0</v>
      </c>
      <c r="F15" s="42">
        <v>1</v>
      </c>
      <c r="G15" s="42">
        <v>1</v>
      </c>
      <c r="H15" s="42">
        <v>2</v>
      </c>
      <c r="I15" s="42">
        <v>8</v>
      </c>
      <c r="J15" s="42">
        <v>7</v>
      </c>
      <c r="K15" s="6">
        <f>SUM(B15:J15)</f>
        <v>24</v>
      </c>
      <c r="L15" s="6"/>
      <c r="M15" s="6"/>
      <c r="N15" s="6"/>
      <c r="O15" s="6">
        <v>24</v>
      </c>
      <c r="P15" s="6">
        <v>34</v>
      </c>
      <c r="Q15" s="5"/>
    </row>
    <row r="16" spans="1:17">
      <c r="A16" s="5">
        <v>13</v>
      </c>
      <c r="B16" s="42">
        <v>2</v>
      </c>
      <c r="C16" s="42">
        <v>1</v>
      </c>
      <c r="D16" s="42">
        <v>0</v>
      </c>
      <c r="E16" s="42">
        <v>4</v>
      </c>
      <c r="F16" s="42">
        <v>2</v>
      </c>
      <c r="G16" s="42">
        <v>2</v>
      </c>
      <c r="H16" s="42">
        <v>2</v>
      </c>
      <c r="I16" s="42">
        <v>10</v>
      </c>
      <c r="J16" s="42">
        <v>5</v>
      </c>
      <c r="K16" s="6">
        <f>SUM(B16:J16)</f>
        <v>28</v>
      </c>
      <c r="L16" s="6"/>
      <c r="M16" s="6"/>
      <c r="N16" s="6"/>
      <c r="O16" s="6">
        <v>28</v>
      </c>
      <c r="P16" s="6">
        <v>29</v>
      </c>
      <c r="Q16" s="5"/>
    </row>
    <row r="17" spans="1:17">
      <c r="A17" s="5">
        <v>14</v>
      </c>
      <c r="B17" s="45">
        <v>3</v>
      </c>
      <c r="C17" s="45">
        <v>1</v>
      </c>
      <c r="D17" s="45">
        <v>1</v>
      </c>
      <c r="E17" s="45">
        <v>3</v>
      </c>
      <c r="F17" s="45">
        <v>1</v>
      </c>
      <c r="G17" s="45">
        <v>2</v>
      </c>
      <c r="H17" s="45">
        <v>2</v>
      </c>
      <c r="I17" s="45">
        <v>7</v>
      </c>
      <c r="J17" s="45">
        <v>7</v>
      </c>
      <c r="K17" s="6">
        <f>SUM(B17:J17)</f>
        <v>27</v>
      </c>
      <c r="L17" s="6"/>
      <c r="M17" s="6"/>
      <c r="N17" s="6"/>
      <c r="O17" s="6">
        <v>27</v>
      </c>
      <c r="P17" s="6">
        <v>29</v>
      </c>
      <c r="Q17" s="5"/>
    </row>
    <row r="18" spans="1:17">
      <c r="A18" s="5">
        <v>15</v>
      </c>
      <c r="B18" s="45">
        <v>7</v>
      </c>
      <c r="C18" s="45">
        <v>1</v>
      </c>
      <c r="D18" s="45">
        <v>2</v>
      </c>
      <c r="E18" s="45">
        <v>5</v>
      </c>
      <c r="F18" s="45">
        <v>6</v>
      </c>
      <c r="G18" s="45">
        <v>4</v>
      </c>
      <c r="H18" s="45">
        <v>2</v>
      </c>
      <c r="I18" s="45">
        <v>8</v>
      </c>
      <c r="J18" s="45">
        <v>8</v>
      </c>
      <c r="K18" s="6">
        <f>SUM(B18:J18)</f>
        <v>43</v>
      </c>
      <c r="L18" s="6"/>
      <c r="M18" s="6"/>
      <c r="N18" s="6"/>
      <c r="O18" s="6">
        <v>43</v>
      </c>
      <c r="P18" s="6">
        <v>27</v>
      </c>
      <c r="Q18" s="5"/>
    </row>
    <row r="19" spans="1:17">
      <c r="A19" s="5">
        <v>16</v>
      </c>
      <c r="B19" s="42">
        <v>14</v>
      </c>
      <c r="C19" s="42">
        <v>1</v>
      </c>
      <c r="D19" s="42">
        <v>3</v>
      </c>
      <c r="E19" s="42">
        <v>4</v>
      </c>
      <c r="F19" s="42">
        <v>5</v>
      </c>
      <c r="G19" s="42">
        <v>2</v>
      </c>
      <c r="H19" s="42">
        <v>2</v>
      </c>
      <c r="I19" s="42">
        <v>10</v>
      </c>
      <c r="J19" s="42">
        <v>9</v>
      </c>
      <c r="K19" s="6">
        <f>SUM(B19:J19)</f>
        <v>50</v>
      </c>
      <c r="L19" s="6"/>
      <c r="M19" s="6"/>
      <c r="N19" s="6"/>
      <c r="O19" s="6">
        <v>50</v>
      </c>
      <c r="P19" s="6">
        <v>38</v>
      </c>
      <c r="Q19" s="5"/>
    </row>
    <row r="20" spans="1:17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4" spans="1:17">
      <c r="A24" s="98" t="s">
        <v>189</v>
      </c>
      <c r="B24" s="98"/>
      <c r="C24" s="98"/>
      <c r="D24" s="98"/>
      <c r="E24" s="98"/>
      <c r="F24" s="98"/>
      <c r="G24" s="98"/>
      <c r="H24" s="98"/>
      <c r="I24" s="5"/>
      <c r="J24" s="5"/>
      <c r="K24" s="5"/>
      <c r="L24" s="5"/>
      <c r="M24" s="5"/>
      <c r="N24" s="5"/>
      <c r="O24" s="5"/>
      <c r="P24" s="5"/>
      <c r="Q24" s="5"/>
    </row>
    <row r="25" spans="1:17">
      <c r="A25" s="5" t="s">
        <v>199</v>
      </c>
      <c r="B25" s="5" t="s">
        <v>200</v>
      </c>
      <c r="C25" s="5" t="s">
        <v>201</v>
      </c>
      <c r="D25" s="5" t="s">
        <v>202</v>
      </c>
      <c r="E25" s="5" t="s">
        <v>203</v>
      </c>
      <c r="F25" s="5" t="s">
        <v>204</v>
      </c>
      <c r="G25" s="5" t="s">
        <v>205</v>
      </c>
      <c r="H25" s="5" t="s">
        <v>206</v>
      </c>
      <c r="I25" s="5" t="s">
        <v>207</v>
      </c>
      <c r="J25" s="5" t="s">
        <v>208</v>
      </c>
      <c r="K25" s="5" t="s">
        <v>211</v>
      </c>
      <c r="L25" s="5" t="s">
        <v>164</v>
      </c>
      <c r="M25" s="5" t="s">
        <v>210</v>
      </c>
      <c r="N25" s="5" t="s">
        <v>198</v>
      </c>
      <c r="O25" s="5"/>
      <c r="P25" s="5"/>
      <c r="Q25" s="5"/>
    </row>
    <row r="26" spans="1:17">
      <c r="A26" s="5">
        <v>1</v>
      </c>
      <c r="B26" s="45">
        <v>2</v>
      </c>
      <c r="C26" s="45">
        <v>1</v>
      </c>
      <c r="D26" s="45">
        <v>0</v>
      </c>
      <c r="E26" s="45">
        <v>3</v>
      </c>
      <c r="F26" s="45">
        <v>3</v>
      </c>
      <c r="G26" s="45">
        <v>1</v>
      </c>
      <c r="H26" s="45">
        <v>2</v>
      </c>
      <c r="I26" s="45">
        <v>9</v>
      </c>
      <c r="J26" s="45">
        <v>4</v>
      </c>
      <c r="K26" s="5">
        <f>SUM(B26:J26)</f>
        <v>25</v>
      </c>
      <c r="L26" s="5">
        <f>AVERAGE(K26:K40)</f>
        <v>34.533333333333331</v>
      </c>
      <c r="M26" s="5">
        <f>_xlfn.VAR.S(K26:K40)</f>
        <v>307.40952380952382</v>
      </c>
      <c r="N26" s="5">
        <f>_xlfn.STDEV.S(K26:K40)</f>
        <v>17.533097952430534</v>
      </c>
      <c r="O26" s="5"/>
      <c r="P26" s="5"/>
      <c r="Q26" s="5"/>
    </row>
    <row r="27" spans="1:17">
      <c r="A27" s="5">
        <v>2</v>
      </c>
      <c r="B27" s="42">
        <v>4</v>
      </c>
      <c r="C27" s="42">
        <v>0</v>
      </c>
      <c r="D27" s="42">
        <v>6</v>
      </c>
      <c r="E27" s="42">
        <v>4</v>
      </c>
      <c r="F27" s="42">
        <v>4</v>
      </c>
      <c r="G27" s="42">
        <v>3</v>
      </c>
      <c r="H27" s="42">
        <v>1</v>
      </c>
      <c r="I27" s="42">
        <v>8</v>
      </c>
      <c r="J27" s="42">
        <v>3</v>
      </c>
      <c r="K27" s="5">
        <f t="shared" ref="K27:K32" si="1">SUM(B27:J27)</f>
        <v>33</v>
      </c>
      <c r="L27" s="5"/>
      <c r="M27" s="5"/>
      <c r="N27" s="5"/>
      <c r="O27" s="5"/>
      <c r="P27" s="5"/>
      <c r="Q27" s="5"/>
    </row>
    <row r="28" spans="1:17">
      <c r="A28" s="5">
        <v>3</v>
      </c>
      <c r="B28" s="42">
        <v>0</v>
      </c>
      <c r="C28" s="42">
        <v>0</v>
      </c>
      <c r="D28" s="42">
        <v>2</v>
      </c>
      <c r="E28" s="42">
        <v>2</v>
      </c>
      <c r="F28" s="42">
        <v>2</v>
      </c>
      <c r="G28" s="42">
        <v>2</v>
      </c>
      <c r="H28" s="42">
        <v>1</v>
      </c>
      <c r="I28" s="42">
        <v>4</v>
      </c>
      <c r="J28" s="42">
        <v>6</v>
      </c>
      <c r="K28" s="5">
        <f t="shared" si="1"/>
        <v>19</v>
      </c>
      <c r="L28" s="5"/>
      <c r="M28" s="5"/>
      <c r="N28" s="5"/>
      <c r="O28" s="5"/>
      <c r="P28" s="5"/>
      <c r="Q28" s="5"/>
    </row>
    <row r="29" spans="1:17">
      <c r="A29" s="5">
        <v>4</v>
      </c>
      <c r="B29" s="45">
        <v>12</v>
      </c>
      <c r="C29" s="45">
        <v>0</v>
      </c>
      <c r="D29" s="45">
        <v>8</v>
      </c>
      <c r="E29" s="45">
        <v>8</v>
      </c>
      <c r="F29" s="45">
        <v>10</v>
      </c>
      <c r="G29" s="45">
        <v>8</v>
      </c>
      <c r="H29" s="45">
        <v>1</v>
      </c>
      <c r="I29" s="45">
        <v>7</v>
      </c>
      <c r="J29" s="45">
        <v>37</v>
      </c>
      <c r="K29" s="5">
        <f t="shared" si="1"/>
        <v>91</v>
      </c>
      <c r="L29" s="5"/>
      <c r="M29" s="5"/>
      <c r="N29" s="5"/>
      <c r="O29" s="5"/>
      <c r="P29" s="5"/>
      <c r="Q29" s="5"/>
    </row>
    <row r="30" spans="1:17">
      <c r="A30" s="5">
        <v>5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1</v>
      </c>
      <c r="I30" s="45">
        <v>9</v>
      </c>
      <c r="J30" s="45">
        <v>18</v>
      </c>
      <c r="K30" s="5">
        <f t="shared" si="1"/>
        <v>28</v>
      </c>
      <c r="L30" s="5"/>
      <c r="M30" s="5"/>
      <c r="N30" s="5"/>
      <c r="O30" s="5"/>
      <c r="P30" s="5"/>
      <c r="Q30" s="5"/>
    </row>
    <row r="31" spans="1:17">
      <c r="A31" s="5">
        <v>6</v>
      </c>
      <c r="B31" s="42">
        <v>3</v>
      </c>
      <c r="C31" s="42">
        <v>0</v>
      </c>
      <c r="D31" s="42">
        <v>2</v>
      </c>
      <c r="E31" s="42">
        <v>0</v>
      </c>
      <c r="F31" s="42">
        <v>2</v>
      </c>
      <c r="G31" s="42">
        <v>2</v>
      </c>
      <c r="H31" s="42">
        <v>1</v>
      </c>
      <c r="I31" s="42">
        <v>13</v>
      </c>
      <c r="J31" s="42">
        <v>9</v>
      </c>
      <c r="K31" s="5">
        <f t="shared" si="1"/>
        <v>32</v>
      </c>
      <c r="L31" s="5"/>
      <c r="M31" s="5"/>
      <c r="N31" s="5"/>
      <c r="O31" s="5"/>
      <c r="P31" s="5"/>
      <c r="Q31" s="5"/>
    </row>
    <row r="32" spans="1:17">
      <c r="A32" s="5">
        <v>7</v>
      </c>
      <c r="B32" s="42">
        <v>2</v>
      </c>
      <c r="C32" s="42">
        <v>0</v>
      </c>
      <c r="D32" s="42">
        <v>2</v>
      </c>
      <c r="E32" s="42">
        <v>0</v>
      </c>
      <c r="F32" s="42">
        <v>2</v>
      </c>
      <c r="G32" s="42">
        <v>3</v>
      </c>
      <c r="H32" s="42">
        <v>1</v>
      </c>
      <c r="I32" s="42">
        <v>6</v>
      </c>
      <c r="J32" s="42">
        <v>2</v>
      </c>
      <c r="K32" s="5">
        <f t="shared" si="1"/>
        <v>18</v>
      </c>
      <c r="L32" s="5"/>
      <c r="M32" s="5"/>
      <c r="N32" s="5"/>
      <c r="O32" s="5"/>
      <c r="P32" s="5"/>
      <c r="Q32" s="5"/>
    </row>
    <row r="33" spans="1:11">
      <c r="A33" s="5">
        <v>9</v>
      </c>
      <c r="B33" s="45">
        <v>0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1</v>
      </c>
      <c r="I33" s="45">
        <v>5</v>
      </c>
      <c r="J33" s="45">
        <v>19</v>
      </c>
      <c r="K33" s="5">
        <f>SUM(B33:J33)</f>
        <v>25</v>
      </c>
    </row>
    <row r="34" spans="1:11">
      <c r="A34" s="5">
        <v>10</v>
      </c>
      <c r="B34" s="42">
        <v>0</v>
      </c>
      <c r="C34" s="42">
        <v>0</v>
      </c>
      <c r="D34" s="42">
        <v>14</v>
      </c>
      <c r="E34" s="42">
        <v>5</v>
      </c>
      <c r="F34" s="42">
        <v>5</v>
      </c>
      <c r="G34" s="42">
        <v>11</v>
      </c>
      <c r="H34" s="42">
        <v>1</v>
      </c>
      <c r="I34" s="42">
        <v>2</v>
      </c>
      <c r="J34" s="42">
        <v>10</v>
      </c>
      <c r="K34" s="5">
        <f>SUM(B34:J34)</f>
        <v>48</v>
      </c>
    </row>
    <row r="35" spans="1:11">
      <c r="A35" s="5">
        <v>11</v>
      </c>
      <c r="B35" s="42">
        <v>13</v>
      </c>
      <c r="C35" s="42">
        <v>1</v>
      </c>
      <c r="D35" s="42">
        <v>2</v>
      </c>
      <c r="E35" s="42">
        <v>0</v>
      </c>
      <c r="F35" s="42">
        <v>1</v>
      </c>
      <c r="G35" s="42">
        <v>1</v>
      </c>
      <c r="H35" s="42">
        <v>2</v>
      </c>
      <c r="I35" s="42">
        <v>12</v>
      </c>
      <c r="J35" s="42">
        <v>10</v>
      </c>
      <c r="K35" s="5">
        <f>SUM(B35:J35)</f>
        <v>42</v>
      </c>
    </row>
    <row r="36" spans="1:11">
      <c r="A36" s="5">
        <v>12</v>
      </c>
      <c r="B36" s="45">
        <v>6</v>
      </c>
      <c r="C36" s="45">
        <v>0</v>
      </c>
      <c r="D36" s="45">
        <v>1</v>
      </c>
      <c r="E36" s="45">
        <v>3</v>
      </c>
      <c r="F36" s="45">
        <v>3</v>
      </c>
      <c r="G36" s="45">
        <v>3</v>
      </c>
      <c r="H36" s="45">
        <v>1</v>
      </c>
      <c r="I36" s="45">
        <v>9</v>
      </c>
      <c r="J36" s="45">
        <v>8</v>
      </c>
      <c r="K36" s="5">
        <f>SUM(B36:J36)</f>
        <v>34</v>
      </c>
    </row>
    <row r="37" spans="1:11">
      <c r="A37" s="5">
        <v>13</v>
      </c>
      <c r="B37" s="45">
        <v>4</v>
      </c>
      <c r="C37" s="45">
        <v>1</v>
      </c>
      <c r="D37" s="45">
        <v>2</v>
      </c>
      <c r="E37" s="45">
        <v>4</v>
      </c>
      <c r="F37" s="45">
        <v>2</v>
      </c>
      <c r="G37" s="45">
        <v>3</v>
      </c>
      <c r="H37" s="45">
        <v>2</v>
      </c>
      <c r="I37" s="45">
        <v>5</v>
      </c>
      <c r="J37" s="45">
        <v>6</v>
      </c>
      <c r="K37" s="5">
        <f>SUM(B37:J37)</f>
        <v>29</v>
      </c>
    </row>
    <row r="38" spans="1:11">
      <c r="A38" s="5">
        <v>14</v>
      </c>
      <c r="B38" s="42">
        <v>6</v>
      </c>
      <c r="C38" s="42">
        <v>0</v>
      </c>
      <c r="D38" s="42">
        <v>1</v>
      </c>
      <c r="E38" s="42">
        <v>3</v>
      </c>
      <c r="F38" s="42">
        <v>2</v>
      </c>
      <c r="G38" s="42">
        <v>2</v>
      </c>
      <c r="H38" s="42">
        <v>1</v>
      </c>
      <c r="I38" s="42">
        <v>6</v>
      </c>
      <c r="J38" s="42">
        <v>8</v>
      </c>
      <c r="K38" s="5">
        <f>SUM(B38:J38)</f>
        <v>29</v>
      </c>
    </row>
    <row r="39" spans="1:11">
      <c r="A39" s="5">
        <v>15</v>
      </c>
      <c r="B39" s="42">
        <v>7</v>
      </c>
      <c r="C39" s="42">
        <v>0</v>
      </c>
      <c r="D39" s="42">
        <v>1</v>
      </c>
      <c r="E39" s="42">
        <v>1</v>
      </c>
      <c r="F39" s="42">
        <v>2</v>
      </c>
      <c r="G39" s="42">
        <v>1</v>
      </c>
      <c r="H39" s="42">
        <v>1</v>
      </c>
      <c r="I39" s="42">
        <v>6</v>
      </c>
      <c r="J39" s="42">
        <v>8</v>
      </c>
      <c r="K39" s="5">
        <f>SUM(B39:J39)</f>
        <v>27</v>
      </c>
    </row>
    <row r="40" spans="1:11">
      <c r="A40" s="5">
        <v>16</v>
      </c>
      <c r="B40" s="45">
        <v>4</v>
      </c>
      <c r="C40" s="45">
        <v>1</v>
      </c>
      <c r="D40" s="45">
        <v>3</v>
      </c>
      <c r="E40" s="45">
        <v>4</v>
      </c>
      <c r="F40" s="45">
        <v>4</v>
      </c>
      <c r="G40" s="45">
        <v>3</v>
      </c>
      <c r="H40" s="45">
        <v>2</v>
      </c>
      <c r="I40" s="45">
        <v>8</v>
      </c>
      <c r="J40" s="45">
        <v>9</v>
      </c>
      <c r="K40" s="5">
        <f>SUM(B40:J40)</f>
        <v>38</v>
      </c>
    </row>
    <row r="41" spans="1:1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</sheetData>
  <mergeCells count="2">
    <mergeCell ref="A3:H3"/>
    <mergeCell ref="A24:H2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E2846-F2F5-4140-A4A2-4770712E0DE1}">
  <dimension ref="A1:AJ38"/>
  <sheetViews>
    <sheetView topLeftCell="R1" workbookViewId="0">
      <selection activeCell="AB27" sqref="AB27"/>
    </sheetView>
  </sheetViews>
  <sheetFormatPr defaultRowHeight="12.75"/>
  <cols>
    <col min="1" max="1" width="126.42578125" customWidth="1"/>
    <col min="2" max="2" width="11.7109375" customWidth="1"/>
    <col min="18" max="18" width="63.42578125" customWidth="1"/>
    <col min="20" max="20" width="10.42578125" customWidth="1"/>
    <col min="29" max="29" width="41.7109375" customWidth="1"/>
    <col min="30" max="30" width="21.140625" customWidth="1"/>
    <col min="31" max="31" width="26.5703125" customWidth="1"/>
    <col min="32" max="32" width="38.5703125" customWidth="1"/>
    <col min="33" max="33" width="34.28515625" customWidth="1"/>
  </cols>
  <sheetData>
    <row r="1" spans="1:36">
      <c r="A1" s="99" t="s">
        <v>188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5"/>
      <c r="T1" s="5"/>
      <c r="U1" s="5"/>
      <c r="V1" s="5"/>
      <c r="W1" s="5"/>
      <c r="X1" s="5"/>
      <c r="Y1" s="5"/>
      <c r="Z1" s="5" t="s">
        <v>212</v>
      </c>
      <c r="AA1" s="5"/>
      <c r="AB1" s="5"/>
      <c r="AC1" s="5" t="s">
        <v>213</v>
      </c>
      <c r="AD1" s="5" t="s">
        <v>214</v>
      </c>
      <c r="AE1" s="5" t="s">
        <v>215</v>
      </c>
      <c r="AF1" s="5" t="s">
        <v>216</v>
      </c>
      <c r="AG1" s="5" t="s">
        <v>217</v>
      </c>
      <c r="AH1" s="5"/>
      <c r="AI1" s="5"/>
      <c r="AJ1" s="5"/>
    </row>
    <row r="2" spans="1:36">
      <c r="A2" s="12" t="s">
        <v>218</v>
      </c>
      <c r="B2" s="12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  <c r="L2" s="6">
        <v>11</v>
      </c>
      <c r="M2" s="6">
        <v>12</v>
      </c>
      <c r="N2" s="6">
        <v>13</v>
      </c>
      <c r="O2" s="6">
        <v>14</v>
      </c>
      <c r="P2" s="6">
        <v>15</v>
      </c>
      <c r="Q2" s="6">
        <v>16</v>
      </c>
      <c r="R2" s="6" t="s">
        <v>219</v>
      </c>
      <c r="S2" s="44">
        <v>1</v>
      </c>
      <c r="T2" s="44">
        <v>2</v>
      </c>
      <c r="U2" s="44">
        <v>3</v>
      </c>
      <c r="V2" s="44">
        <v>4</v>
      </c>
      <c r="W2" s="44">
        <v>5</v>
      </c>
      <c r="X2" s="44">
        <v>6</v>
      </c>
      <c r="Y2" s="44">
        <v>7</v>
      </c>
      <c r="Z2" s="5" t="s">
        <v>188</v>
      </c>
      <c r="AA2" s="5"/>
      <c r="AB2" s="5"/>
      <c r="AC2" s="5">
        <f>Z3-Z11</f>
        <v>-0.9375</v>
      </c>
      <c r="AD2" s="5">
        <f>Z4-Z12</f>
        <v>0.1875</v>
      </c>
      <c r="AE2" s="5">
        <f>Z5-Z13</f>
        <v>6.25E-2</v>
      </c>
      <c r="AF2" s="5">
        <f>Z6-Z14</f>
        <v>-0.6875</v>
      </c>
      <c r="AG2" s="5">
        <f>Z7-Z15</f>
        <v>6.25E-2</v>
      </c>
      <c r="AH2" s="5"/>
      <c r="AI2" s="5"/>
      <c r="AJ2" s="5"/>
    </row>
    <row r="3" spans="1:36" ht="15">
      <c r="A3" s="70" t="s">
        <v>220</v>
      </c>
      <c r="B3" s="6">
        <v>7</v>
      </c>
      <c r="C3" s="72">
        <v>4</v>
      </c>
      <c r="D3" s="6">
        <v>7</v>
      </c>
      <c r="E3" s="6">
        <v>3</v>
      </c>
      <c r="F3" s="6">
        <v>2</v>
      </c>
      <c r="G3" s="6">
        <v>3</v>
      </c>
      <c r="H3" s="6">
        <v>6</v>
      </c>
      <c r="I3" s="6">
        <v>4</v>
      </c>
      <c r="J3" s="6">
        <v>4</v>
      </c>
      <c r="K3" s="6">
        <v>4</v>
      </c>
      <c r="L3" s="6">
        <v>6</v>
      </c>
      <c r="M3" s="6">
        <v>6</v>
      </c>
      <c r="N3" s="6">
        <v>5</v>
      </c>
      <c r="O3" s="6">
        <v>6</v>
      </c>
      <c r="P3" s="6">
        <v>6</v>
      </c>
      <c r="Q3" s="6">
        <v>4</v>
      </c>
      <c r="R3" s="89" t="s">
        <v>221</v>
      </c>
      <c r="S3" s="6">
        <f>COUNTIF(B3:Q3,$S$2)</f>
        <v>0</v>
      </c>
      <c r="T3" s="6">
        <f>COUNTIF(B3:Q3,$T$2)</f>
        <v>1</v>
      </c>
      <c r="U3" s="6">
        <f>COUNTIF(B3:Q3,$U$2)</f>
        <v>2</v>
      </c>
      <c r="V3" s="6">
        <f>COUNTIF(B3:Q3,$V$2)</f>
        <v>5</v>
      </c>
      <c r="W3" s="6">
        <f>COUNTIF(B3:Q3,$W$2)</f>
        <v>1</v>
      </c>
      <c r="X3" s="6">
        <f>COUNTIF(B3:Q3,$X$2)</f>
        <v>5</v>
      </c>
      <c r="Y3" s="20">
        <f>COUNTIF(B3:Q3,$Y$2)</f>
        <v>2</v>
      </c>
      <c r="Z3" s="6">
        <f>AVERAGE(B3:Q3)</f>
        <v>4.8125</v>
      </c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1:36" ht="15">
      <c r="A4" s="73" t="s">
        <v>222</v>
      </c>
      <c r="B4" s="35">
        <v>5</v>
      </c>
      <c r="C4" s="6">
        <v>4</v>
      </c>
      <c r="D4" s="6">
        <v>7</v>
      </c>
      <c r="E4" s="6">
        <v>6</v>
      </c>
      <c r="F4" s="6">
        <v>5</v>
      </c>
      <c r="G4" s="6">
        <v>7</v>
      </c>
      <c r="H4" s="6">
        <v>5</v>
      </c>
      <c r="I4" s="6">
        <v>6</v>
      </c>
      <c r="J4" s="6">
        <v>6</v>
      </c>
      <c r="K4" s="6">
        <v>7</v>
      </c>
      <c r="L4" s="6">
        <v>7</v>
      </c>
      <c r="M4" s="6">
        <v>6</v>
      </c>
      <c r="N4" s="6">
        <v>5</v>
      </c>
      <c r="O4" s="6">
        <v>6</v>
      </c>
      <c r="P4" s="6">
        <v>6</v>
      </c>
      <c r="Q4" s="6">
        <v>6</v>
      </c>
      <c r="R4" s="90" t="s">
        <v>223</v>
      </c>
      <c r="S4" s="6">
        <f>COUNTIF(B4:Q4,$S$2)</f>
        <v>0</v>
      </c>
      <c r="T4" s="6">
        <f>COUNTIF(B4:Q4,$T$2)</f>
        <v>0</v>
      </c>
      <c r="U4" s="6">
        <f>COUNTIF(B4:Q4,$U$2)</f>
        <v>0</v>
      </c>
      <c r="V4" s="6">
        <f>COUNTIF(B4:Q4,$V$2)</f>
        <v>1</v>
      </c>
      <c r="W4" s="6">
        <f>COUNTIF(B4:Q4,$W$2)</f>
        <v>4</v>
      </c>
      <c r="X4" s="6">
        <f>COUNTIF(B4:Q4,$X$2)</f>
        <v>7</v>
      </c>
      <c r="Y4" s="20">
        <f>COUNTIF(B4:Q4,$Y$2)</f>
        <v>4</v>
      </c>
      <c r="Z4" s="6">
        <f>AVERAGE(B4:Q4)</f>
        <v>5.875</v>
      </c>
      <c r="AA4" s="5"/>
      <c r="AB4" s="5"/>
      <c r="AC4" s="5"/>
      <c r="AD4" s="5"/>
      <c r="AE4" s="5"/>
      <c r="AF4" s="5"/>
      <c r="AG4" s="5"/>
      <c r="AH4" s="5"/>
      <c r="AI4" s="5"/>
      <c r="AJ4" s="5"/>
    </row>
    <row r="5" spans="1:36" ht="15">
      <c r="A5" s="70" t="s">
        <v>224</v>
      </c>
      <c r="B5" s="6">
        <v>6</v>
      </c>
      <c r="C5" s="6">
        <v>3</v>
      </c>
      <c r="D5" s="6">
        <v>6</v>
      </c>
      <c r="E5" s="6">
        <v>2</v>
      </c>
      <c r="F5" s="6">
        <v>3</v>
      </c>
      <c r="G5" s="6">
        <v>7</v>
      </c>
      <c r="H5" s="6">
        <v>6</v>
      </c>
      <c r="I5" s="6">
        <v>6</v>
      </c>
      <c r="J5" s="6">
        <v>4</v>
      </c>
      <c r="K5" s="6">
        <v>6</v>
      </c>
      <c r="L5" s="6">
        <v>5</v>
      </c>
      <c r="M5" s="6">
        <v>5</v>
      </c>
      <c r="N5" s="6">
        <v>6</v>
      </c>
      <c r="O5" s="6">
        <v>6</v>
      </c>
      <c r="P5" s="6">
        <v>6</v>
      </c>
      <c r="Q5" s="6">
        <v>7</v>
      </c>
      <c r="R5" s="89" t="s">
        <v>225</v>
      </c>
      <c r="S5" s="6">
        <f>COUNTIF(B5:Q5,$S$2)</f>
        <v>0</v>
      </c>
      <c r="T5" s="6">
        <f>COUNTIF(B5:Q5,$T$2)</f>
        <v>1</v>
      </c>
      <c r="U5" s="6">
        <f>COUNTIF(B5:Q5,$U$2)</f>
        <v>2</v>
      </c>
      <c r="V5" s="6">
        <f>COUNTIF(B5:Q5,$V$2)</f>
        <v>1</v>
      </c>
      <c r="W5" s="6">
        <f>COUNTIF(B5:Q5,$W$2)</f>
        <v>2</v>
      </c>
      <c r="X5" s="6">
        <f>COUNTIF(B5:Q5,$X$2)</f>
        <v>8</v>
      </c>
      <c r="Y5" s="20">
        <f>COUNTIF(B5:Q5,$Y$2)</f>
        <v>2</v>
      </c>
      <c r="Z5" s="6">
        <f>AVERAGE(B5:Q5)</f>
        <v>5.25</v>
      </c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ht="15">
      <c r="A6" s="71" t="s">
        <v>226</v>
      </c>
      <c r="B6" s="6">
        <v>6</v>
      </c>
      <c r="C6" s="6">
        <v>3</v>
      </c>
      <c r="D6" s="6">
        <v>3</v>
      </c>
      <c r="E6" s="6">
        <v>4</v>
      </c>
      <c r="F6" s="6">
        <v>5</v>
      </c>
      <c r="G6" s="6">
        <v>7</v>
      </c>
      <c r="H6" s="6">
        <v>5</v>
      </c>
      <c r="I6" s="6">
        <v>2</v>
      </c>
      <c r="J6" s="6">
        <v>5</v>
      </c>
      <c r="K6" s="6">
        <v>4</v>
      </c>
      <c r="L6" s="6">
        <v>6</v>
      </c>
      <c r="M6" s="6">
        <v>6</v>
      </c>
      <c r="N6" s="6">
        <v>6</v>
      </c>
      <c r="O6" s="6">
        <v>3</v>
      </c>
      <c r="P6" s="6">
        <v>5</v>
      </c>
      <c r="Q6" s="6">
        <v>6</v>
      </c>
      <c r="R6" s="89" t="s">
        <v>225</v>
      </c>
      <c r="S6" s="6">
        <f>COUNTIF(B6:Q6,$S$2)</f>
        <v>0</v>
      </c>
      <c r="T6" s="6">
        <f>COUNTIF(B6:Q6,$T$2)</f>
        <v>1</v>
      </c>
      <c r="U6" s="6">
        <f>COUNTIF(B6:Q6,$U$2)</f>
        <v>3</v>
      </c>
      <c r="V6" s="6">
        <f>COUNTIF(B6:Q6,$V$2)</f>
        <v>2</v>
      </c>
      <c r="W6" s="6">
        <f>COUNTIF(B6:Q6,$W$2)</f>
        <v>4</v>
      </c>
      <c r="X6" s="6">
        <f>COUNTIF(B6:Q6,$X$2)</f>
        <v>5</v>
      </c>
      <c r="Y6" s="20">
        <f>COUNTIF(B6:Q6,$Y$2)</f>
        <v>1</v>
      </c>
      <c r="Z6" s="6">
        <f>AVERAGE(B6:Q6)</f>
        <v>4.75</v>
      </c>
      <c r="AA6" s="5"/>
      <c r="AB6" s="5"/>
      <c r="AC6" s="5"/>
      <c r="AD6" s="5"/>
      <c r="AE6" s="5"/>
      <c r="AF6" s="5"/>
      <c r="AG6" s="5"/>
      <c r="AH6" s="5"/>
      <c r="AI6" s="5"/>
      <c r="AJ6" s="5"/>
    </row>
    <row r="7" spans="1:36" ht="15">
      <c r="A7" s="70" t="s">
        <v>227</v>
      </c>
      <c r="B7" s="6">
        <v>4</v>
      </c>
      <c r="C7" s="6">
        <v>6</v>
      </c>
      <c r="D7" s="6">
        <v>7</v>
      </c>
      <c r="E7" s="6">
        <v>2</v>
      </c>
      <c r="F7" s="6">
        <v>6</v>
      </c>
      <c r="G7" s="6">
        <v>3</v>
      </c>
      <c r="H7" s="6">
        <v>5</v>
      </c>
      <c r="I7" s="6">
        <v>6</v>
      </c>
      <c r="J7" s="6">
        <v>6</v>
      </c>
      <c r="K7" s="6">
        <v>7</v>
      </c>
      <c r="L7" s="6">
        <v>6</v>
      </c>
      <c r="M7" s="6">
        <v>6</v>
      </c>
      <c r="N7" s="6">
        <v>6</v>
      </c>
      <c r="O7" s="6">
        <v>6</v>
      </c>
      <c r="P7" s="6">
        <v>7</v>
      </c>
      <c r="Q7" s="6">
        <v>5</v>
      </c>
      <c r="R7" s="89" t="s">
        <v>225</v>
      </c>
      <c r="S7" s="6">
        <f>COUNTIF(B7:Q7,$S$2)</f>
        <v>0</v>
      </c>
      <c r="T7" s="6">
        <f>COUNTIF(B7:Q7,$T$2)</f>
        <v>1</v>
      </c>
      <c r="U7" s="6">
        <f>COUNTIF(B7:Q7,$U$2)</f>
        <v>1</v>
      </c>
      <c r="V7" s="6">
        <f>COUNTIF(B7:Q7,$V$2)</f>
        <v>1</v>
      </c>
      <c r="W7" s="6">
        <f>COUNTIF(B7:Q7,$W$2)</f>
        <v>2</v>
      </c>
      <c r="X7" s="6">
        <f>COUNTIF(B7:Q7,$X$2)</f>
        <v>8</v>
      </c>
      <c r="Y7" s="20">
        <f>COUNTIF(B7:Q7,$Y$2)</f>
        <v>3</v>
      </c>
      <c r="Z7" s="6">
        <f>AVERAGE(B7:Q7)</f>
        <v>5.5</v>
      </c>
      <c r="AA7" s="5"/>
      <c r="AB7" s="5"/>
      <c r="AC7" s="5"/>
      <c r="AD7" s="5"/>
      <c r="AE7" s="5"/>
      <c r="AF7" s="5"/>
      <c r="AG7" s="5"/>
      <c r="AH7" s="5"/>
      <c r="AI7" s="5"/>
      <c r="AJ7" s="5"/>
    </row>
    <row r="8" spans="1:3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spans="1:36">
      <c r="A9" s="99" t="s">
        <v>189</v>
      </c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spans="1:36">
      <c r="A10" s="12" t="s">
        <v>218</v>
      </c>
      <c r="B10" s="12">
        <v>1</v>
      </c>
      <c r="C10" s="6">
        <v>2</v>
      </c>
      <c r="D10" s="6">
        <v>3</v>
      </c>
      <c r="E10" s="6">
        <v>4</v>
      </c>
      <c r="F10" s="6">
        <v>5</v>
      </c>
      <c r="G10" s="6">
        <v>6</v>
      </c>
      <c r="H10" s="6">
        <v>7</v>
      </c>
      <c r="I10" s="6">
        <v>8</v>
      </c>
      <c r="J10" s="6">
        <v>9</v>
      </c>
      <c r="K10" s="6">
        <v>10</v>
      </c>
      <c r="L10" s="6">
        <v>11</v>
      </c>
      <c r="M10" s="6">
        <v>12</v>
      </c>
      <c r="N10" s="6">
        <v>13</v>
      </c>
      <c r="O10" s="6">
        <v>14</v>
      </c>
      <c r="P10" s="6">
        <v>15</v>
      </c>
      <c r="Q10" s="6">
        <v>16</v>
      </c>
      <c r="R10" s="6" t="s">
        <v>219</v>
      </c>
      <c r="S10" s="5"/>
      <c r="T10" s="5"/>
      <c r="U10" s="5"/>
      <c r="V10" s="5"/>
      <c r="W10" s="5"/>
      <c r="X10" s="5"/>
      <c r="Y10" s="5"/>
      <c r="Z10" s="5" t="s">
        <v>189</v>
      </c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1:36" ht="15">
      <c r="A11" s="70" t="s">
        <v>220</v>
      </c>
      <c r="B11" s="6">
        <v>7</v>
      </c>
      <c r="C11" s="72">
        <v>5</v>
      </c>
      <c r="D11" s="5">
        <v>7</v>
      </c>
      <c r="E11" s="6">
        <v>4</v>
      </c>
      <c r="F11" s="6">
        <v>6</v>
      </c>
      <c r="G11" s="6">
        <v>6</v>
      </c>
      <c r="H11" s="6">
        <v>7</v>
      </c>
      <c r="I11" s="6">
        <v>5</v>
      </c>
      <c r="J11" s="6">
        <v>6</v>
      </c>
      <c r="K11" s="6">
        <v>7</v>
      </c>
      <c r="L11" s="6">
        <v>7</v>
      </c>
      <c r="M11" s="6">
        <v>6</v>
      </c>
      <c r="N11" s="6">
        <v>3</v>
      </c>
      <c r="O11" s="6">
        <v>6</v>
      </c>
      <c r="P11" s="6">
        <v>6</v>
      </c>
      <c r="Q11" s="6">
        <v>4</v>
      </c>
      <c r="R11" s="89" t="s">
        <v>221</v>
      </c>
      <c r="S11" s="6">
        <f>COUNTIF(B11:Q11,$S$2)</f>
        <v>0</v>
      </c>
      <c r="T11" s="6">
        <f>COUNTIF(B11:Q11,$T$2)</f>
        <v>0</v>
      </c>
      <c r="U11" s="6">
        <f>COUNTIF(B11:Q11,$U$2)</f>
        <v>1</v>
      </c>
      <c r="V11" s="6">
        <f>COUNTIF(B11:Q11,$V$2)</f>
        <v>2</v>
      </c>
      <c r="W11" s="6">
        <f>COUNTIF(B11:Q11,$W$2)</f>
        <v>2</v>
      </c>
      <c r="X11" s="6">
        <f>COUNTIF(B11:Q11,$X$2)</f>
        <v>6</v>
      </c>
      <c r="Y11" s="6">
        <f>COUNTIF(B11:Q11,$Y$2)</f>
        <v>5</v>
      </c>
      <c r="Z11" s="6">
        <f>AVERAGE(B11:Q11)</f>
        <v>5.75</v>
      </c>
      <c r="AA11" s="5"/>
      <c r="AB11" s="5"/>
      <c r="AC11" s="5"/>
      <c r="AD11" s="5"/>
      <c r="AE11" s="5"/>
      <c r="AF11" s="5"/>
      <c r="AG11" s="5"/>
      <c r="AH11" s="5"/>
      <c r="AI11" s="5"/>
      <c r="AJ11" s="5"/>
    </row>
    <row r="12" spans="1:36" ht="15">
      <c r="A12" s="73" t="s">
        <v>222</v>
      </c>
      <c r="B12" s="35">
        <v>5</v>
      </c>
      <c r="C12" s="6">
        <v>5</v>
      </c>
      <c r="D12" s="6">
        <v>7</v>
      </c>
      <c r="E12" s="6">
        <v>6</v>
      </c>
      <c r="F12" s="6">
        <v>6</v>
      </c>
      <c r="G12" s="6">
        <v>7</v>
      </c>
      <c r="H12" s="6">
        <v>7</v>
      </c>
      <c r="I12" s="6">
        <v>6</v>
      </c>
      <c r="J12" s="6">
        <v>6</v>
      </c>
      <c r="K12" s="6">
        <v>7</v>
      </c>
      <c r="L12" s="6">
        <v>6</v>
      </c>
      <c r="M12" s="6">
        <v>5</v>
      </c>
      <c r="N12" s="6">
        <v>3</v>
      </c>
      <c r="O12" s="6">
        <v>5</v>
      </c>
      <c r="P12" s="6">
        <v>6</v>
      </c>
      <c r="Q12" s="6">
        <v>4</v>
      </c>
      <c r="R12" s="90" t="s">
        <v>223</v>
      </c>
      <c r="S12" s="6">
        <f>COUNTIF(B12:Q12,$S$2)</f>
        <v>0</v>
      </c>
      <c r="T12" s="6">
        <f>COUNTIF(B12:Q12,$T$2)</f>
        <v>0</v>
      </c>
      <c r="U12" s="6">
        <f>COUNTIF(B12:Q12,$U$2)</f>
        <v>1</v>
      </c>
      <c r="V12" s="6">
        <f>COUNTIF(B12:Q12,$V$2)</f>
        <v>1</v>
      </c>
      <c r="W12" s="6">
        <f>COUNTIF(B12:Q12,$W$2)</f>
        <v>4</v>
      </c>
      <c r="X12" s="6">
        <f>COUNTIF(B12:Q12,$X$2)</f>
        <v>6</v>
      </c>
      <c r="Y12" s="6">
        <f>COUNTIF(B12:Q12,$Y$2)</f>
        <v>4</v>
      </c>
      <c r="Z12" s="6">
        <f>AVERAGE(B12:Q12)</f>
        <v>5.6875</v>
      </c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 spans="1:36" ht="15">
      <c r="A13" s="70" t="s">
        <v>224</v>
      </c>
      <c r="B13" s="6">
        <v>6</v>
      </c>
      <c r="C13" s="6">
        <v>3</v>
      </c>
      <c r="D13" s="6">
        <v>6</v>
      </c>
      <c r="E13" s="6">
        <v>2</v>
      </c>
      <c r="F13" s="6">
        <v>6</v>
      </c>
      <c r="G13" s="6">
        <v>7</v>
      </c>
      <c r="H13" s="6">
        <v>5</v>
      </c>
      <c r="I13" s="6">
        <v>6</v>
      </c>
      <c r="J13" s="6">
        <v>4</v>
      </c>
      <c r="K13" s="6">
        <v>6</v>
      </c>
      <c r="L13" s="6">
        <v>6</v>
      </c>
      <c r="M13" s="6">
        <v>4</v>
      </c>
      <c r="N13" s="6">
        <v>6</v>
      </c>
      <c r="O13" s="5">
        <v>6</v>
      </c>
      <c r="P13" s="6">
        <v>6</v>
      </c>
      <c r="Q13" s="6">
        <v>4</v>
      </c>
      <c r="R13" s="89" t="s">
        <v>225</v>
      </c>
      <c r="S13" s="6">
        <f>COUNTIF(B13:Q13,$S$2)</f>
        <v>0</v>
      </c>
      <c r="T13" s="6">
        <f>COUNTIF(B13:Q13,$T$2)</f>
        <v>1</v>
      </c>
      <c r="U13" s="6">
        <f>COUNTIF(B13:Q13,$U$2)</f>
        <v>1</v>
      </c>
      <c r="V13" s="6">
        <f>COUNTIF(B13:Q13,$V$2)</f>
        <v>3</v>
      </c>
      <c r="W13" s="6">
        <f>COUNTIF(B13:Q13,$W$2)</f>
        <v>1</v>
      </c>
      <c r="X13" s="6">
        <f>COUNTIF(B13:Q13,$X$2)</f>
        <v>9</v>
      </c>
      <c r="Y13" s="6">
        <f>COUNTIF(B13:Q13,$Y$2)</f>
        <v>1</v>
      </c>
      <c r="Z13" s="6">
        <f>AVERAGE(B13:Q13)</f>
        <v>5.1875</v>
      </c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 spans="1:36" ht="15">
      <c r="A14" s="71" t="s">
        <v>226</v>
      </c>
      <c r="B14" s="6">
        <v>6</v>
      </c>
      <c r="C14" s="6">
        <v>3</v>
      </c>
      <c r="D14" s="6">
        <v>3</v>
      </c>
      <c r="E14" s="6">
        <v>7</v>
      </c>
      <c r="F14" s="6">
        <v>5</v>
      </c>
      <c r="G14" s="6">
        <v>7</v>
      </c>
      <c r="H14" s="6">
        <v>6</v>
      </c>
      <c r="I14" s="6">
        <v>3</v>
      </c>
      <c r="J14" s="6">
        <v>7</v>
      </c>
      <c r="K14" s="6">
        <v>7</v>
      </c>
      <c r="L14" s="6">
        <v>7</v>
      </c>
      <c r="M14" s="6">
        <v>5</v>
      </c>
      <c r="N14" s="6">
        <v>6</v>
      </c>
      <c r="O14" s="6">
        <v>3</v>
      </c>
      <c r="P14" s="6">
        <v>6</v>
      </c>
      <c r="Q14" s="6">
        <v>6</v>
      </c>
      <c r="R14" s="89" t="s">
        <v>225</v>
      </c>
      <c r="S14" s="6">
        <f>COUNTIF(B14:Q14,$S$2)</f>
        <v>0</v>
      </c>
      <c r="T14" s="6">
        <f>COUNTIF(B14:Q14,$T$2)</f>
        <v>0</v>
      </c>
      <c r="U14" s="6">
        <f>COUNTIF(B14:Q14,$U$2)</f>
        <v>4</v>
      </c>
      <c r="V14" s="6">
        <f>COUNTIF(B14:Q14,$V$2)</f>
        <v>0</v>
      </c>
      <c r="W14" s="6">
        <f>COUNTIF(B14:Q14,$W$2)</f>
        <v>2</v>
      </c>
      <c r="X14" s="6">
        <f>COUNTIF(B14:Q14,$X$2)</f>
        <v>5</v>
      </c>
      <c r="Y14" s="6">
        <f>COUNTIF(B14:Q14,$Y$2)</f>
        <v>5</v>
      </c>
      <c r="Z14" s="6">
        <f>AVERAGE(B14:Q14)</f>
        <v>5.4375</v>
      </c>
      <c r="AA14" s="5"/>
      <c r="AB14" s="5"/>
      <c r="AC14" s="5"/>
      <c r="AD14" s="5"/>
      <c r="AE14" s="5"/>
      <c r="AF14" s="5"/>
      <c r="AG14" s="5"/>
      <c r="AH14" s="5"/>
      <c r="AI14" s="5"/>
      <c r="AJ14" s="5"/>
    </row>
    <row r="15" spans="1:36" ht="15">
      <c r="A15" s="70" t="s">
        <v>227</v>
      </c>
      <c r="B15" s="6">
        <v>7</v>
      </c>
      <c r="C15" s="6">
        <v>6</v>
      </c>
      <c r="D15" s="6">
        <v>5</v>
      </c>
      <c r="E15" s="6">
        <v>2</v>
      </c>
      <c r="F15" s="6">
        <v>6</v>
      </c>
      <c r="G15" s="6">
        <v>3</v>
      </c>
      <c r="H15" s="6">
        <v>7</v>
      </c>
      <c r="I15" s="6">
        <v>6</v>
      </c>
      <c r="J15" s="6">
        <v>4</v>
      </c>
      <c r="K15" s="6">
        <v>7</v>
      </c>
      <c r="L15" s="6">
        <v>6</v>
      </c>
      <c r="M15" s="6">
        <v>6</v>
      </c>
      <c r="N15" s="6">
        <v>6</v>
      </c>
      <c r="O15" s="6">
        <v>6</v>
      </c>
      <c r="P15" s="6">
        <v>7</v>
      </c>
      <c r="Q15" s="6">
        <v>3</v>
      </c>
      <c r="R15" s="89" t="s">
        <v>225</v>
      </c>
      <c r="S15" s="6">
        <f>COUNTIF(B15:Q15,$S$2)</f>
        <v>0</v>
      </c>
      <c r="T15" s="6">
        <f>COUNTIF(B15:Q15,$T$2)</f>
        <v>1</v>
      </c>
      <c r="U15" s="6">
        <f>COUNTIF(B15:Q15,$U$2)</f>
        <v>2</v>
      </c>
      <c r="V15" s="6">
        <f>COUNTIF(B15:Q15,$V$2)</f>
        <v>1</v>
      </c>
      <c r="W15" s="6">
        <f>COUNTIF(B15:Q15,$W$2)</f>
        <v>1</v>
      </c>
      <c r="X15" s="6">
        <f>COUNTIF(B15:Q15,$X$2)</f>
        <v>7</v>
      </c>
      <c r="Y15" s="6">
        <f>COUNTIF(B15:Q15,$Y$2)</f>
        <v>4</v>
      </c>
      <c r="Z15" s="6">
        <f>AVERAGE(B15:Q15)</f>
        <v>5.4375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</row>
    <row r="16" spans="1:3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8" spans="1:19">
      <c r="A18" s="5"/>
      <c r="B18" s="98" t="s">
        <v>188</v>
      </c>
      <c r="C18" s="98"/>
      <c r="D18" s="98"/>
      <c r="E18" s="98"/>
      <c r="F18" s="98"/>
      <c r="G18" s="5"/>
      <c r="H18" s="5"/>
      <c r="I18" s="5"/>
      <c r="J18" s="98" t="s">
        <v>189</v>
      </c>
      <c r="K18" s="98"/>
      <c r="L18" s="98"/>
      <c r="M18" s="98"/>
      <c r="N18" s="98"/>
      <c r="O18" s="5"/>
      <c r="P18" s="5"/>
      <c r="Q18" s="5"/>
      <c r="R18" s="5"/>
      <c r="S18" s="5"/>
    </row>
    <row r="19" spans="1:19" ht="15">
      <c r="A19" s="5" t="s">
        <v>218</v>
      </c>
      <c r="B19" s="70" t="s">
        <v>220</v>
      </c>
      <c r="C19" s="73" t="s">
        <v>222</v>
      </c>
      <c r="D19" s="70" t="s">
        <v>224</v>
      </c>
      <c r="E19" s="71" t="s">
        <v>226</v>
      </c>
      <c r="F19" s="70" t="s">
        <v>227</v>
      </c>
      <c r="G19" s="5"/>
      <c r="H19" s="5"/>
      <c r="I19" s="5" t="s">
        <v>218</v>
      </c>
      <c r="J19" s="70" t="s">
        <v>220</v>
      </c>
      <c r="K19" s="73" t="s">
        <v>222</v>
      </c>
      <c r="L19" s="70" t="s">
        <v>224</v>
      </c>
      <c r="M19" s="71" t="s">
        <v>226</v>
      </c>
      <c r="N19" s="70" t="s">
        <v>227</v>
      </c>
      <c r="O19" s="5"/>
      <c r="P19" s="5"/>
      <c r="Q19" s="5"/>
      <c r="R19" s="5"/>
      <c r="S19" s="5"/>
    </row>
    <row r="20" spans="1:19">
      <c r="A20" s="44">
        <v>1</v>
      </c>
      <c r="B20" s="6">
        <v>7</v>
      </c>
      <c r="C20" s="35">
        <v>5</v>
      </c>
      <c r="D20" s="6">
        <v>6</v>
      </c>
      <c r="E20" s="6">
        <v>6</v>
      </c>
      <c r="F20" s="6">
        <v>4</v>
      </c>
      <c r="G20" s="5"/>
      <c r="H20" s="5"/>
      <c r="I20" s="44">
        <v>1</v>
      </c>
      <c r="J20" s="6">
        <v>7</v>
      </c>
      <c r="K20" s="35">
        <v>5</v>
      </c>
      <c r="L20" s="6">
        <v>6</v>
      </c>
      <c r="M20" s="6">
        <v>6</v>
      </c>
      <c r="N20" s="6">
        <v>7</v>
      </c>
      <c r="O20" s="5"/>
      <c r="P20" s="5"/>
      <c r="Q20" s="5"/>
      <c r="R20" s="5"/>
      <c r="S20" s="5"/>
    </row>
    <row r="21" spans="1:19">
      <c r="A21" s="44">
        <v>2</v>
      </c>
      <c r="B21" s="72">
        <v>4</v>
      </c>
      <c r="C21" s="6">
        <v>4</v>
      </c>
      <c r="D21" s="6">
        <v>3</v>
      </c>
      <c r="E21" s="6">
        <v>3</v>
      </c>
      <c r="F21" s="6">
        <v>6</v>
      </c>
      <c r="G21" s="5"/>
      <c r="H21" s="5"/>
      <c r="I21" s="44">
        <v>2</v>
      </c>
      <c r="J21" s="72">
        <v>5</v>
      </c>
      <c r="K21" s="6">
        <v>5</v>
      </c>
      <c r="L21" s="6">
        <v>3</v>
      </c>
      <c r="M21" s="6">
        <v>3</v>
      </c>
      <c r="N21" s="6">
        <v>6</v>
      </c>
      <c r="O21" s="5"/>
      <c r="P21" s="5"/>
      <c r="Q21" s="5"/>
      <c r="R21" s="5"/>
      <c r="S21" s="5"/>
    </row>
    <row r="22" spans="1:19">
      <c r="A22" s="44">
        <v>3</v>
      </c>
      <c r="B22" s="6">
        <v>7</v>
      </c>
      <c r="C22" s="6">
        <v>7</v>
      </c>
      <c r="D22" s="6">
        <v>6</v>
      </c>
      <c r="E22" s="6">
        <v>3</v>
      </c>
      <c r="F22" s="6">
        <v>7</v>
      </c>
      <c r="G22" s="5"/>
      <c r="H22" s="5"/>
      <c r="I22" s="44">
        <v>3</v>
      </c>
      <c r="J22" s="5">
        <v>7</v>
      </c>
      <c r="K22" s="6">
        <v>7</v>
      </c>
      <c r="L22" s="6">
        <v>6</v>
      </c>
      <c r="M22" s="6">
        <v>3</v>
      </c>
      <c r="N22" s="6">
        <v>5</v>
      </c>
      <c r="O22" s="5"/>
      <c r="P22" s="5"/>
      <c r="Q22" s="5"/>
      <c r="R22" s="5"/>
      <c r="S22" s="5"/>
    </row>
    <row r="23" spans="1:19">
      <c r="A23" s="44">
        <v>4</v>
      </c>
      <c r="B23" s="6">
        <v>3</v>
      </c>
      <c r="C23" s="6">
        <v>6</v>
      </c>
      <c r="D23" s="6">
        <v>2</v>
      </c>
      <c r="E23" s="6">
        <v>4</v>
      </c>
      <c r="F23" s="6">
        <v>2</v>
      </c>
      <c r="G23" s="5"/>
      <c r="H23" s="5"/>
      <c r="I23" s="44">
        <v>4</v>
      </c>
      <c r="J23" s="6">
        <v>4</v>
      </c>
      <c r="K23" s="6">
        <v>6</v>
      </c>
      <c r="L23" s="6">
        <v>2</v>
      </c>
      <c r="M23" s="6">
        <v>7</v>
      </c>
      <c r="N23" s="6">
        <v>2</v>
      </c>
      <c r="O23" s="5"/>
      <c r="P23" s="5"/>
      <c r="Q23" s="5"/>
      <c r="R23" s="5"/>
      <c r="S23" s="5"/>
    </row>
    <row r="24" spans="1:19">
      <c r="A24" s="44">
        <v>5</v>
      </c>
      <c r="B24" s="6">
        <v>2</v>
      </c>
      <c r="C24" s="6">
        <v>5</v>
      </c>
      <c r="D24" s="6">
        <v>3</v>
      </c>
      <c r="E24" s="6">
        <v>5</v>
      </c>
      <c r="F24" s="6">
        <v>6</v>
      </c>
      <c r="G24" s="5"/>
      <c r="H24" s="5"/>
      <c r="I24" s="44">
        <v>5</v>
      </c>
      <c r="J24" s="6">
        <v>6</v>
      </c>
      <c r="K24" s="6">
        <v>6</v>
      </c>
      <c r="L24" s="6">
        <v>6</v>
      </c>
      <c r="M24" s="6">
        <v>5</v>
      </c>
      <c r="N24" s="6">
        <v>6</v>
      </c>
      <c r="O24" s="5"/>
      <c r="P24" s="5"/>
      <c r="Q24" s="5"/>
      <c r="R24" s="5"/>
      <c r="S24" s="5"/>
    </row>
    <row r="25" spans="1:19">
      <c r="A25" s="44">
        <v>6</v>
      </c>
      <c r="B25" s="6">
        <v>3</v>
      </c>
      <c r="C25" s="6">
        <v>7</v>
      </c>
      <c r="D25" s="6">
        <v>7</v>
      </c>
      <c r="E25" s="6">
        <v>7</v>
      </c>
      <c r="F25" s="6">
        <v>3</v>
      </c>
      <c r="G25" s="5"/>
      <c r="H25" s="5"/>
      <c r="I25" s="44">
        <v>6</v>
      </c>
      <c r="J25" s="6">
        <v>6</v>
      </c>
      <c r="K25" s="6">
        <v>7</v>
      </c>
      <c r="L25" s="6">
        <v>7</v>
      </c>
      <c r="M25" s="6">
        <v>7</v>
      </c>
      <c r="N25" s="6">
        <v>3</v>
      </c>
      <c r="O25" s="5"/>
      <c r="P25" s="5"/>
      <c r="Q25" s="5"/>
      <c r="R25" s="5"/>
      <c r="S25" s="5"/>
    </row>
    <row r="26" spans="1:19">
      <c r="A26" s="44">
        <v>7</v>
      </c>
      <c r="B26" s="6">
        <v>6</v>
      </c>
      <c r="C26" s="6">
        <v>5</v>
      </c>
      <c r="D26" s="6">
        <v>6</v>
      </c>
      <c r="E26" s="6">
        <v>5</v>
      </c>
      <c r="F26" s="6">
        <v>5</v>
      </c>
      <c r="G26" s="5"/>
      <c r="H26" s="5"/>
      <c r="I26" s="44">
        <v>7</v>
      </c>
      <c r="J26" s="6">
        <v>7</v>
      </c>
      <c r="K26" s="6">
        <v>7</v>
      </c>
      <c r="L26" s="6">
        <v>5</v>
      </c>
      <c r="M26" s="6">
        <v>6</v>
      </c>
      <c r="N26" s="6">
        <v>7</v>
      </c>
      <c r="O26" s="5"/>
      <c r="P26" s="5"/>
      <c r="Q26" s="5"/>
      <c r="R26" s="5"/>
      <c r="S26" s="5"/>
    </row>
    <row r="27" spans="1:19">
      <c r="A27" s="44">
        <v>8</v>
      </c>
      <c r="B27" s="6">
        <v>4</v>
      </c>
      <c r="C27" s="6">
        <v>6</v>
      </c>
      <c r="D27" s="6">
        <v>6</v>
      </c>
      <c r="E27" s="6">
        <v>2</v>
      </c>
      <c r="F27" s="6">
        <v>6</v>
      </c>
      <c r="G27" s="5"/>
      <c r="H27" s="5"/>
      <c r="I27" s="44">
        <v>8</v>
      </c>
      <c r="J27" s="6">
        <v>5</v>
      </c>
      <c r="K27" s="6">
        <v>6</v>
      </c>
      <c r="L27" s="6">
        <v>6</v>
      </c>
      <c r="M27" s="6">
        <v>3</v>
      </c>
      <c r="N27" s="6">
        <v>6</v>
      </c>
      <c r="O27" s="5"/>
      <c r="P27" s="5"/>
      <c r="Q27" s="5"/>
      <c r="R27" s="5"/>
      <c r="S27" s="5"/>
    </row>
    <row r="28" spans="1:19">
      <c r="A28" s="44">
        <v>9</v>
      </c>
      <c r="B28" s="6">
        <v>4</v>
      </c>
      <c r="C28" s="6">
        <v>6</v>
      </c>
      <c r="D28" s="6">
        <v>4</v>
      </c>
      <c r="E28" s="6">
        <v>5</v>
      </c>
      <c r="F28" s="6">
        <v>6</v>
      </c>
      <c r="G28" s="5"/>
      <c r="H28" s="5"/>
      <c r="I28" s="44">
        <v>9</v>
      </c>
      <c r="J28" s="6">
        <v>6</v>
      </c>
      <c r="K28" s="6">
        <v>6</v>
      </c>
      <c r="L28" s="6">
        <v>4</v>
      </c>
      <c r="M28" s="6">
        <v>7</v>
      </c>
      <c r="N28" s="6">
        <v>4</v>
      </c>
      <c r="O28" s="5"/>
      <c r="P28" s="5"/>
      <c r="Q28" s="5"/>
      <c r="R28" s="5"/>
      <c r="S28" s="5"/>
    </row>
    <row r="29" spans="1:19">
      <c r="A29" s="44">
        <v>10</v>
      </c>
      <c r="B29" s="6">
        <v>4</v>
      </c>
      <c r="C29" s="6">
        <v>7</v>
      </c>
      <c r="D29" s="6">
        <v>6</v>
      </c>
      <c r="E29" s="6">
        <v>4</v>
      </c>
      <c r="F29" s="6">
        <v>7</v>
      </c>
      <c r="G29" s="5"/>
      <c r="H29" s="5"/>
      <c r="I29" s="44">
        <v>10</v>
      </c>
      <c r="J29" s="6">
        <v>7</v>
      </c>
      <c r="K29" s="6">
        <v>7</v>
      </c>
      <c r="L29" s="6">
        <v>6</v>
      </c>
      <c r="M29" s="6">
        <v>7</v>
      </c>
      <c r="N29" s="6">
        <v>7</v>
      </c>
      <c r="O29" s="5"/>
      <c r="P29" s="5"/>
      <c r="Q29" s="5"/>
      <c r="R29" s="5"/>
      <c r="S29" s="5"/>
    </row>
    <row r="30" spans="1:19">
      <c r="A30" s="44">
        <v>11</v>
      </c>
      <c r="B30" s="6">
        <v>6</v>
      </c>
      <c r="C30" s="6">
        <v>7</v>
      </c>
      <c r="D30" s="6">
        <v>5</v>
      </c>
      <c r="E30" s="6">
        <v>6</v>
      </c>
      <c r="F30" s="6">
        <v>6</v>
      </c>
      <c r="G30" s="5"/>
      <c r="H30" s="5"/>
      <c r="I30" s="44">
        <v>11</v>
      </c>
      <c r="J30" s="6">
        <v>7</v>
      </c>
      <c r="K30" s="6">
        <v>6</v>
      </c>
      <c r="L30" s="6">
        <v>6</v>
      </c>
      <c r="M30" s="6">
        <v>7</v>
      </c>
      <c r="N30" s="6">
        <v>6</v>
      </c>
      <c r="O30" s="5"/>
      <c r="P30" s="5"/>
      <c r="Q30" s="5"/>
      <c r="R30" s="5"/>
      <c r="S30" s="5"/>
    </row>
    <row r="31" spans="1:19">
      <c r="A31" s="44">
        <v>12</v>
      </c>
      <c r="B31" s="6">
        <v>6</v>
      </c>
      <c r="C31" s="6">
        <v>6</v>
      </c>
      <c r="D31" s="6">
        <v>5</v>
      </c>
      <c r="E31" s="6">
        <v>6</v>
      </c>
      <c r="F31" s="6">
        <v>6</v>
      </c>
      <c r="G31" s="5"/>
      <c r="H31" s="5"/>
      <c r="I31" s="44">
        <v>12</v>
      </c>
      <c r="J31" s="6">
        <v>6</v>
      </c>
      <c r="K31" s="6">
        <v>5</v>
      </c>
      <c r="L31" s="6">
        <v>4</v>
      </c>
      <c r="M31" s="6">
        <v>5</v>
      </c>
      <c r="N31" s="6">
        <v>6</v>
      </c>
      <c r="O31" s="5"/>
      <c r="P31" s="5"/>
      <c r="Q31" s="5"/>
      <c r="R31" s="5"/>
      <c r="S31" s="5"/>
    </row>
    <row r="32" spans="1:19">
      <c r="A32" s="44">
        <v>13</v>
      </c>
      <c r="B32" s="6">
        <v>5</v>
      </c>
      <c r="C32" s="6">
        <v>5</v>
      </c>
      <c r="D32" s="6">
        <v>6</v>
      </c>
      <c r="E32" s="6">
        <v>6</v>
      </c>
      <c r="F32" s="6">
        <v>6</v>
      </c>
      <c r="G32" s="5"/>
      <c r="H32" s="5"/>
      <c r="I32" s="44">
        <v>13</v>
      </c>
      <c r="J32" s="6">
        <v>3</v>
      </c>
      <c r="K32" s="6">
        <v>3</v>
      </c>
      <c r="L32" s="6">
        <v>6</v>
      </c>
      <c r="M32" s="6">
        <v>6</v>
      </c>
      <c r="N32" s="6">
        <v>6</v>
      </c>
      <c r="O32" s="5"/>
      <c r="P32" s="5"/>
      <c r="Q32" s="5"/>
      <c r="R32" s="5"/>
      <c r="S32" s="5"/>
    </row>
    <row r="33" spans="1:14">
      <c r="A33" s="44">
        <v>14</v>
      </c>
      <c r="B33" s="6">
        <v>6</v>
      </c>
      <c r="C33" s="6">
        <v>6</v>
      </c>
      <c r="D33" s="6">
        <v>6</v>
      </c>
      <c r="E33" s="6">
        <v>3</v>
      </c>
      <c r="F33" s="6">
        <v>6</v>
      </c>
      <c r="G33" s="5"/>
      <c r="H33" s="5"/>
      <c r="I33" s="44">
        <v>14</v>
      </c>
      <c r="J33" s="6">
        <v>6</v>
      </c>
      <c r="K33" s="6">
        <v>5</v>
      </c>
      <c r="L33" s="5">
        <v>6</v>
      </c>
      <c r="M33" s="6">
        <v>3</v>
      </c>
      <c r="N33" s="6">
        <v>6</v>
      </c>
    </row>
    <row r="34" spans="1:14">
      <c r="A34" s="44">
        <v>15</v>
      </c>
      <c r="B34" s="12">
        <v>6</v>
      </c>
      <c r="C34" s="12">
        <v>6</v>
      </c>
      <c r="D34" s="12">
        <v>6</v>
      </c>
      <c r="E34" s="12">
        <v>5</v>
      </c>
      <c r="F34" s="12">
        <v>7</v>
      </c>
      <c r="G34" s="5"/>
      <c r="H34" s="5"/>
      <c r="I34" s="44">
        <v>15</v>
      </c>
      <c r="J34" s="12">
        <v>6</v>
      </c>
      <c r="K34" s="12">
        <v>6</v>
      </c>
      <c r="L34" s="12">
        <v>6</v>
      </c>
      <c r="M34" s="12">
        <v>6</v>
      </c>
      <c r="N34" s="12">
        <v>7</v>
      </c>
    </row>
    <row r="35" spans="1:14">
      <c r="A35" s="87">
        <v>16</v>
      </c>
      <c r="B35" s="6">
        <v>4</v>
      </c>
      <c r="C35" s="6">
        <v>6</v>
      </c>
      <c r="D35" s="6">
        <v>7</v>
      </c>
      <c r="E35" s="6">
        <v>6</v>
      </c>
      <c r="F35" s="6">
        <v>5</v>
      </c>
      <c r="G35" s="88"/>
      <c r="H35" s="88"/>
      <c r="I35" s="87">
        <v>16</v>
      </c>
      <c r="J35" s="6">
        <v>4</v>
      </c>
      <c r="K35" s="86">
        <v>4</v>
      </c>
      <c r="L35" s="85">
        <v>4</v>
      </c>
      <c r="M35" s="85">
        <v>6</v>
      </c>
      <c r="N35" s="85">
        <v>3</v>
      </c>
    </row>
    <row r="36" spans="1:14">
      <c r="A36" s="5" t="s">
        <v>228</v>
      </c>
      <c r="B36" s="5">
        <f t="shared" ref="B36:C36" si="0">QUARTILE(B20:B35,1)</f>
        <v>4</v>
      </c>
      <c r="C36" s="5">
        <f t="shared" si="0"/>
        <v>5</v>
      </c>
      <c r="D36" s="5">
        <f>QUARTILE(D20:D35,1)</f>
        <v>4.75</v>
      </c>
      <c r="E36" s="5">
        <f t="shared" ref="E36:F36" si="1">QUARTILE(E20:E35,1)</f>
        <v>3.75</v>
      </c>
      <c r="F36" s="5">
        <f t="shared" si="1"/>
        <v>5</v>
      </c>
      <c r="G36" s="5"/>
      <c r="H36" s="5"/>
      <c r="I36" s="5"/>
      <c r="J36" s="5">
        <f t="shared" ref="J36" si="2">QUARTILE(J20:J35,1)</f>
        <v>5</v>
      </c>
      <c r="K36" s="5">
        <f t="shared" ref="K36" si="3">QUARTILE(K20:K35,1)</f>
        <v>5</v>
      </c>
      <c r="L36" s="5">
        <f t="shared" ref="L36" si="4">QUARTILE(L20:L35,1)</f>
        <v>4</v>
      </c>
      <c r="M36" s="5">
        <f t="shared" ref="M36" si="5">QUARTILE(M20:M35,1)</f>
        <v>4.5</v>
      </c>
      <c r="N36" s="5">
        <f t="shared" ref="N36" si="6">QUARTILE(N20:N35,1)</f>
        <v>4.75</v>
      </c>
    </row>
    <row r="37" spans="1:14">
      <c r="A37" s="5" t="s">
        <v>229</v>
      </c>
      <c r="B37" s="5">
        <f t="shared" ref="B37:E37" si="7">QUARTILE(B20:B35,3)</f>
        <v>6</v>
      </c>
      <c r="C37" s="5">
        <f t="shared" si="7"/>
        <v>6.25</v>
      </c>
      <c r="D37" s="5">
        <f t="shared" si="7"/>
        <v>6</v>
      </c>
      <c r="E37" s="5">
        <f t="shared" si="7"/>
        <v>6</v>
      </c>
      <c r="F37" s="5">
        <f>QUARTILE(F20:F35,3)</f>
        <v>6</v>
      </c>
      <c r="G37" s="5"/>
      <c r="H37" s="5"/>
      <c r="I37" s="5"/>
      <c r="J37" s="5">
        <f t="shared" ref="G37:N37" si="8">QUARTILE(J20:J35,3)</f>
        <v>7</v>
      </c>
      <c r="K37" s="5">
        <f t="shared" si="8"/>
        <v>6.25</v>
      </c>
      <c r="L37" s="5">
        <f t="shared" si="8"/>
        <v>6</v>
      </c>
      <c r="M37" s="5">
        <f t="shared" si="8"/>
        <v>7</v>
      </c>
      <c r="N37" s="5">
        <f>QUARTILE(N20:N35,3)</f>
        <v>6.25</v>
      </c>
    </row>
    <row r="38" spans="1:14">
      <c r="A38" s="5" t="s">
        <v>230</v>
      </c>
      <c r="B38" s="5">
        <f>MEDIAN(B20:B35)</f>
        <v>4.5</v>
      </c>
      <c r="C38" s="5">
        <f t="shared" ref="C38:N38" si="9">MEDIAN(C20:C35)</f>
        <v>6</v>
      </c>
      <c r="D38" s="5">
        <f t="shared" si="9"/>
        <v>6</v>
      </c>
      <c r="E38" s="5">
        <f t="shared" si="9"/>
        <v>5</v>
      </c>
      <c r="F38" s="5">
        <f t="shared" si="9"/>
        <v>6</v>
      </c>
      <c r="G38" s="5"/>
      <c r="H38" s="5"/>
      <c r="I38" s="5"/>
      <c r="J38" s="5">
        <f t="shared" si="9"/>
        <v>6</v>
      </c>
      <c r="K38" s="5">
        <f t="shared" si="9"/>
        <v>6</v>
      </c>
      <c r="L38" s="5">
        <f t="shared" si="9"/>
        <v>6</v>
      </c>
      <c r="M38" s="5">
        <f t="shared" si="9"/>
        <v>6</v>
      </c>
      <c r="N38" s="5">
        <f t="shared" si="9"/>
        <v>6</v>
      </c>
    </row>
  </sheetData>
  <mergeCells count="4">
    <mergeCell ref="A9:R9"/>
    <mergeCell ref="A1:R1"/>
    <mergeCell ref="B18:F18"/>
    <mergeCell ref="J18:N1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AE32A-4853-4A44-8F3B-8CFECE96C58C}">
  <dimension ref="A2:R48"/>
  <sheetViews>
    <sheetView workbookViewId="0">
      <selection activeCell="L4" sqref="L4"/>
    </sheetView>
  </sheetViews>
  <sheetFormatPr defaultRowHeight="12.75"/>
  <cols>
    <col min="1" max="1" width="19" customWidth="1"/>
    <col min="2" max="2" width="21.85546875" customWidth="1"/>
    <col min="3" max="3" width="18.85546875" customWidth="1"/>
    <col min="4" max="4" width="17.85546875" customWidth="1"/>
    <col min="5" max="5" width="23.140625" customWidth="1"/>
    <col min="6" max="6" width="18.28515625" customWidth="1"/>
    <col min="7" max="7" width="19" customWidth="1"/>
    <col min="8" max="8" width="17.85546875" customWidth="1"/>
    <col min="9" max="9" width="17.7109375" customWidth="1"/>
    <col min="10" max="10" width="16.28515625" customWidth="1"/>
    <col min="11" max="11" width="14.7109375" customWidth="1"/>
    <col min="12" max="12" width="27.28515625" customWidth="1"/>
    <col min="13" max="13" width="21.5703125" customWidth="1"/>
    <col min="14" max="14" width="14" customWidth="1"/>
    <col min="15" max="15" width="18.7109375" customWidth="1"/>
    <col min="16" max="16" width="17.28515625" customWidth="1"/>
    <col min="17" max="17" width="19" customWidth="1"/>
  </cols>
  <sheetData>
    <row r="2" spans="1:18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>
      <c r="A3" s="95" t="s">
        <v>188</v>
      </c>
      <c r="B3" s="95"/>
      <c r="C3" s="95"/>
      <c r="D3" s="95"/>
      <c r="E3" s="95"/>
      <c r="F3" s="95"/>
      <c r="G3" s="5"/>
      <c r="H3" s="5"/>
      <c r="I3" s="5"/>
      <c r="J3" s="5"/>
      <c r="K3" s="5"/>
      <c r="L3" s="95" t="s">
        <v>189</v>
      </c>
      <c r="M3" s="95"/>
      <c r="N3" s="95"/>
      <c r="O3" s="95"/>
      <c r="P3" s="95"/>
      <c r="Q3" s="95"/>
      <c r="R3" s="5"/>
    </row>
    <row r="4" spans="1:18">
      <c r="A4" s="35" t="s">
        <v>231</v>
      </c>
      <c r="B4" s="35"/>
      <c r="C4" s="35"/>
      <c r="D4" s="35"/>
      <c r="E4" s="35"/>
      <c r="F4" s="35"/>
      <c r="G4" s="34"/>
      <c r="H4" s="34"/>
      <c r="I4" s="34"/>
      <c r="J4" s="5"/>
      <c r="K4" s="5"/>
      <c r="L4" s="6" t="s">
        <v>231</v>
      </c>
      <c r="M4" s="6"/>
      <c r="N4" s="6"/>
      <c r="O4" s="6"/>
      <c r="P4" s="6"/>
      <c r="Q4" s="6"/>
      <c r="R4" s="5"/>
    </row>
    <row r="5" spans="1:18">
      <c r="A5" s="6" t="s">
        <v>232</v>
      </c>
      <c r="B5" s="6" t="s">
        <v>233</v>
      </c>
      <c r="C5" s="6" t="s">
        <v>234</v>
      </c>
      <c r="D5" s="6" t="s">
        <v>235</v>
      </c>
      <c r="E5" s="6" t="s">
        <v>236</v>
      </c>
      <c r="F5" s="6" t="s">
        <v>237</v>
      </c>
      <c r="G5" s="34"/>
      <c r="H5" s="34"/>
      <c r="I5" s="34"/>
      <c r="J5" s="5"/>
      <c r="K5" s="5"/>
      <c r="L5" s="6" t="s">
        <v>232</v>
      </c>
      <c r="M5" s="6" t="s">
        <v>233</v>
      </c>
      <c r="N5" s="6" t="s">
        <v>234</v>
      </c>
      <c r="O5" s="6" t="s">
        <v>235</v>
      </c>
      <c r="P5" s="6" t="s">
        <v>236</v>
      </c>
      <c r="Q5" s="6" t="s">
        <v>237</v>
      </c>
      <c r="R5" s="5"/>
    </row>
    <row r="6" spans="1:18">
      <c r="A6" s="6">
        <v>1.6666666666666667</v>
      </c>
      <c r="B6" s="6">
        <v>2</v>
      </c>
      <c r="C6" s="6">
        <v>1.75</v>
      </c>
      <c r="D6" s="6">
        <v>2</v>
      </c>
      <c r="E6" s="6">
        <v>1.75</v>
      </c>
      <c r="F6" s="6">
        <v>1.5</v>
      </c>
      <c r="G6" s="34"/>
      <c r="H6" s="34"/>
      <c r="I6" s="34"/>
      <c r="J6" s="5"/>
      <c r="K6" s="5"/>
      <c r="L6" s="6">
        <v>0.83333333333333337</v>
      </c>
      <c r="M6" s="6">
        <v>0.75</v>
      </c>
      <c r="N6" s="6">
        <v>0</v>
      </c>
      <c r="O6" s="6">
        <v>1.25</v>
      </c>
      <c r="P6" s="6">
        <v>1.25</v>
      </c>
      <c r="Q6" s="6">
        <v>-0.25</v>
      </c>
      <c r="R6" s="5"/>
    </row>
    <row r="7" spans="1:18">
      <c r="A7" s="6">
        <v>1.5</v>
      </c>
      <c r="B7" s="6">
        <v>0.25</v>
      </c>
      <c r="C7" s="6">
        <v>1.25</v>
      </c>
      <c r="D7" s="6">
        <v>1.5</v>
      </c>
      <c r="E7" s="6">
        <v>1.25</v>
      </c>
      <c r="F7" s="6">
        <v>0.75</v>
      </c>
      <c r="G7" s="34"/>
      <c r="H7" s="34"/>
      <c r="I7" s="34"/>
      <c r="J7" s="5"/>
      <c r="K7" s="5"/>
      <c r="L7" s="6">
        <v>1</v>
      </c>
      <c r="M7" s="6">
        <v>0</v>
      </c>
      <c r="N7" s="6">
        <v>0.75</v>
      </c>
      <c r="O7" s="6">
        <v>0</v>
      </c>
      <c r="P7" s="6">
        <v>1</v>
      </c>
      <c r="Q7" s="6">
        <v>2</v>
      </c>
      <c r="R7" s="5"/>
    </row>
    <row r="8" spans="1:18">
      <c r="A8" s="6">
        <v>3</v>
      </c>
      <c r="B8" s="6">
        <v>2.5</v>
      </c>
      <c r="C8" s="6">
        <v>2.25</v>
      </c>
      <c r="D8" s="6">
        <v>1</v>
      </c>
      <c r="E8" s="6">
        <v>3</v>
      </c>
      <c r="F8" s="6">
        <v>3</v>
      </c>
      <c r="G8" s="34"/>
      <c r="H8" s="34"/>
      <c r="I8" s="34"/>
      <c r="J8" s="5"/>
      <c r="K8" s="5"/>
      <c r="L8" s="6">
        <v>3</v>
      </c>
      <c r="M8" s="6">
        <v>2.75</v>
      </c>
      <c r="N8" s="6">
        <v>3</v>
      </c>
      <c r="O8" s="6">
        <v>1.5</v>
      </c>
      <c r="P8" s="6">
        <v>3</v>
      </c>
      <c r="Q8" s="6">
        <v>3</v>
      </c>
      <c r="R8" s="5"/>
    </row>
    <row r="9" spans="1:18">
      <c r="A9" s="6">
        <v>1.3333333333333333</v>
      </c>
      <c r="B9" s="6">
        <v>-0.75</v>
      </c>
      <c r="C9" s="6">
        <v>0.75</v>
      </c>
      <c r="D9" s="6">
        <v>0.75</v>
      </c>
      <c r="E9" s="6">
        <v>2.25</v>
      </c>
      <c r="F9" s="6">
        <v>2.5</v>
      </c>
      <c r="G9" s="34"/>
      <c r="H9" s="34"/>
      <c r="I9" s="34"/>
      <c r="J9" s="5"/>
      <c r="K9" s="5"/>
      <c r="L9" s="6">
        <v>2</v>
      </c>
      <c r="M9" s="6">
        <v>0.75</v>
      </c>
      <c r="N9" s="6">
        <v>1.5</v>
      </c>
      <c r="O9" s="6">
        <v>1.25</v>
      </c>
      <c r="P9" s="6">
        <v>2.25</v>
      </c>
      <c r="Q9" s="6">
        <v>2</v>
      </c>
      <c r="R9" s="5"/>
    </row>
    <row r="10" spans="1:18">
      <c r="A10" s="6">
        <v>2.1666666666666665</v>
      </c>
      <c r="B10" s="6">
        <v>2.25</v>
      </c>
      <c r="C10" s="6">
        <v>2</v>
      </c>
      <c r="D10" s="6">
        <v>0.75</v>
      </c>
      <c r="E10" s="6">
        <v>1.75</v>
      </c>
      <c r="F10" s="6">
        <v>2.5</v>
      </c>
      <c r="G10" s="34"/>
      <c r="H10" s="34"/>
      <c r="I10" s="34"/>
      <c r="J10" s="5"/>
      <c r="K10" s="5"/>
      <c r="L10" s="6">
        <v>1.6666666666666667</v>
      </c>
      <c r="M10" s="6">
        <v>1.5</v>
      </c>
      <c r="N10" s="6">
        <v>1</v>
      </c>
      <c r="O10" s="6">
        <v>0.25</v>
      </c>
      <c r="P10" s="6">
        <v>2.25</v>
      </c>
      <c r="Q10" s="6">
        <v>1.25</v>
      </c>
      <c r="R10" s="5"/>
    </row>
    <row r="11" spans="1:18">
      <c r="A11" s="6">
        <v>2.1666666666666665</v>
      </c>
      <c r="B11" s="6">
        <v>1.75</v>
      </c>
      <c r="C11" s="6">
        <v>1.75</v>
      </c>
      <c r="D11" s="6">
        <v>1.5</v>
      </c>
      <c r="E11" s="6">
        <v>3</v>
      </c>
      <c r="F11" s="6">
        <v>2.5</v>
      </c>
      <c r="G11" s="34"/>
      <c r="H11" s="34"/>
      <c r="I11" s="34"/>
      <c r="J11" s="5"/>
      <c r="K11" s="5"/>
      <c r="L11" s="6">
        <v>2.5</v>
      </c>
      <c r="M11" s="6">
        <v>2.25</v>
      </c>
      <c r="N11" s="6">
        <v>2</v>
      </c>
      <c r="O11" s="6">
        <v>2.5</v>
      </c>
      <c r="P11" s="6">
        <v>2.5</v>
      </c>
      <c r="Q11" s="6">
        <v>1.5</v>
      </c>
      <c r="R11" s="5"/>
    </row>
    <row r="12" spans="1:18">
      <c r="A12" s="6">
        <v>0.33333333333333331</v>
      </c>
      <c r="B12" s="6">
        <v>0.5</v>
      </c>
      <c r="C12" s="6">
        <v>1.25</v>
      </c>
      <c r="D12" s="6">
        <v>0</v>
      </c>
      <c r="E12" s="6">
        <v>1.75</v>
      </c>
      <c r="F12" s="6">
        <v>1.75</v>
      </c>
      <c r="G12" s="34"/>
      <c r="H12" s="34"/>
      <c r="I12" s="34"/>
      <c r="J12" s="5"/>
      <c r="K12" s="5"/>
      <c r="L12" s="6">
        <v>2.8333333333333335</v>
      </c>
      <c r="M12" s="6">
        <v>3</v>
      </c>
      <c r="N12" s="6">
        <v>2.5</v>
      </c>
      <c r="O12" s="6">
        <v>2.5</v>
      </c>
      <c r="P12" s="6">
        <v>2</v>
      </c>
      <c r="Q12" s="6">
        <v>0.5</v>
      </c>
      <c r="R12" s="5"/>
    </row>
    <row r="13" spans="1:18">
      <c r="A13" s="6">
        <v>1.5</v>
      </c>
      <c r="B13" s="6">
        <v>1</v>
      </c>
      <c r="C13" s="6">
        <v>1.25</v>
      </c>
      <c r="D13" s="6">
        <v>1.25</v>
      </c>
      <c r="E13" s="6">
        <v>1.75</v>
      </c>
      <c r="F13" s="6">
        <v>2</v>
      </c>
      <c r="G13" s="34"/>
      <c r="H13" s="34"/>
      <c r="I13" s="34"/>
      <c r="J13" s="5"/>
      <c r="K13" s="5"/>
      <c r="L13" s="6">
        <v>1.8333333333333333</v>
      </c>
      <c r="M13" s="6">
        <v>1.5</v>
      </c>
      <c r="N13" s="6">
        <v>2</v>
      </c>
      <c r="O13" s="6">
        <v>1.5</v>
      </c>
      <c r="P13" s="6">
        <v>2.25</v>
      </c>
      <c r="Q13" s="6">
        <v>1</v>
      </c>
      <c r="R13" s="5"/>
    </row>
    <row r="14" spans="1:18">
      <c r="A14" s="6">
        <v>0.83333333333333337</v>
      </c>
      <c r="B14" s="6">
        <v>1.75</v>
      </c>
      <c r="C14" s="6">
        <v>1</v>
      </c>
      <c r="D14" s="6">
        <v>1.25</v>
      </c>
      <c r="E14" s="6">
        <v>1.5</v>
      </c>
      <c r="F14" s="6">
        <v>2.25</v>
      </c>
      <c r="G14" s="34"/>
      <c r="H14" s="34"/>
      <c r="I14" s="34"/>
      <c r="J14" s="5"/>
      <c r="K14" s="5"/>
      <c r="L14" s="6">
        <v>1</v>
      </c>
      <c r="M14" s="6">
        <v>0.75</v>
      </c>
      <c r="N14" s="6">
        <v>1.25</v>
      </c>
      <c r="O14" s="6">
        <v>2</v>
      </c>
      <c r="P14" s="6">
        <v>2</v>
      </c>
      <c r="Q14" s="6">
        <v>1</v>
      </c>
      <c r="R14" s="5"/>
    </row>
    <row r="15" spans="1:18">
      <c r="A15" s="6">
        <v>1.5</v>
      </c>
      <c r="B15" s="6">
        <v>2.5</v>
      </c>
      <c r="C15" s="6">
        <v>2.5</v>
      </c>
      <c r="D15" s="6">
        <v>1</v>
      </c>
      <c r="E15" s="6">
        <v>2.25</v>
      </c>
      <c r="F15" s="6">
        <v>1.5</v>
      </c>
      <c r="G15" s="34"/>
      <c r="H15" s="34"/>
      <c r="I15" s="34"/>
      <c r="J15" s="5"/>
      <c r="K15" s="5"/>
      <c r="L15" s="6">
        <v>2.1666666666666665</v>
      </c>
      <c r="M15" s="6">
        <v>2.25</v>
      </c>
      <c r="N15" s="6">
        <v>2.25</v>
      </c>
      <c r="O15" s="6">
        <v>1</v>
      </c>
      <c r="P15" s="6">
        <v>2</v>
      </c>
      <c r="Q15" s="6">
        <v>1.5</v>
      </c>
      <c r="R15" s="5"/>
    </row>
    <row r="16" spans="1:18">
      <c r="A16" s="6">
        <v>2</v>
      </c>
      <c r="B16" s="6">
        <v>2</v>
      </c>
      <c r="C16" s="6">
        <v>1.25</v>
      </c>
      <c r="D16" s="6">
        <v>2</v>
      </c>
      <c r="E16" s="6">
        <v>2.25</v>
      </c>
      <c r="F16" s="6">
        <v>2.25</v>
      </c>
      <c r="G16" s="34"/>
      <c r="H16" s="34"/>
      <c r="I16" s="34"/>
      <c r="J16" s="5"/>
      <c r="K16" s="5"/>
      <c r="L16" s="6">
        <v>1.6666666666666667</v>
      </c>
      <c r="M16" s="6">
        <v>2.25</v>
      </c>
      <c r="N16" s="6">
        <v>1.25</v>
      </c>
      <c r="O16" s="6">
        <v>1.75</v>
      </c>
      <c r="P16" s="6">
        <v>1.5</v>
      </c>
      <c r="Q16" s="6">
        <v>1</v>
      </c>
      <c r="R16" s="5"/>
    </row>
    <row r="17" spans="1:18">
      <c r="A17" s="6">
        <v>1.8333333333333333</v>
      </c>
      <c r="B17" s="6">
        <v>2</v>
      </c>
      <c r="C17" s="6">
        <v>2</v>
      </c>
      <c r="D17" s="6">
        <v>1.75</v>
      </c>
      <c r="E17" s="6">
        <v>1.5</v>
      </c>
      <c r="F17" s="6">
        <v>1.75</v>
      </c>
      <c r="G17" s="34"/>
      <c r="H17" s="34"/>
      <c r="I17" s="34"/>
      <c r="J17" s="5"/>
      <c r="K17" s="5"/>
      <c r="L17" s="6">
        <v>1</v>
      </c>
      <c r="M17" s="6">
        <v>-0.25</v>
      </c>
      <c r="N17" s="6">
        <v>1.5</v>
      </c>
      <c r="O17" s="6">
        <v>1.5</v>
      </c>
      <c r="P17" s="6">
        <v>1.25</v>
      </c>
      <c r="Q17" s="6">
        <v>1.25</v>
      </c>
      <c r="R17" s="5"/>
    </row>
    <row r="18" spans="1:18">
      <c r="A18" s="6">
        <v>1.6666666666666667</v>
      </c>
      <c r="B18" s="6">
        <v>2.25</v>
      </c>
      <c r="C18" s="6">
        <v>1.5</v>
      </c>
      <c r="D18" s="6">
        <v>0.75</v>
      </c>
      <c r="E18" s="6">
        <v>1.25</v>
      </c>
      <c r="F18" s="6">
        <v>0.25</v>
      </c>
      <c r="G18" s="34"/>
      <c r="H18" s="34"/>
      <c r="I18" s="34"/>
      <c r="J18" s="5"/>
      <c r="K18" s="5"/>
      <c r="L18" s="6">
        <v>0.66666666666666663</v>
      </c>
      <c r="M18" s="6">
        <v>1</v>
      </c>
      <c r="N18" s="6">
        <v>0.25</v>
      </c>
      <c r="O18" s="6">
        <v>0.25</v>
      </c>
      <c r="P18" s="6">
        <v>0.5</v>
      </c>
      <c r="Q18" s="6">
        <v>0.25</v>
      </c>
      <c r="R18" s="5"/>
    </row>
    <row r="19" spans="1:18">
      <c r="A19" s="6">
        <v>1.1666666666666667</v>
      </c>
      <c r="B19" s="6">
        <v>1.25</v>
      </c>
      <c r="C19" s="6">
        <v>1.25</v>
      </c>
      <c r="D19" s="6">
        <v>2</v>
      </c>
      <c r="E19" s="6">
        <v>1.5</v>
      </c>
      <c r="F19" s="6">
        <v>1.75</v>
      </c>
      <c r="G19" s="34"/>
      <c r="H19" s="34"/>
      <c r="I19" s="34"/>
      <c r="J19" s="5"/>
      <c r="K19" s="5"/>
      <c r="L19" s="6">
        <v>1.8333333333333333</v>
      </c>
      <c r="M19" s="6">
        <v>2</v>
      </c>
      <c r="N19" s="6">
        <v>-0.25</v>
      </c>
      <c r="O19" s="6">
        <v>2</v>
      </c>
      <c r="P19" s="6">
        <v>0.25</v>
      </c>
      <c r="Q19" s="6">
        <v>0.75</v>
      </c>
      <c r="R19" s="5"/>
    </row>
    <row r="20" spans="1:18">
      <c r="A20" s="6">
        <v>2</v>
      </c>
      <c r="B20" s="6">
        <v>2.75</v>
      </c>
      <c r="C20" s="6">
        <v>1.75</v>
      </c>
      <c r="D20" s="6">
        <v>2.5</v>
      </c>
      <c r="E20" s="6">
        <v>1.75</v>
      </c>
      <c r="F20" s="6">
        <v>1.75</v>
      </c>
      <c r="G20" s="34"/>
      <c r="H20" s="34"/>
      <c r="I20" s="34"/>
      <c r="J20" s="5"/>
      <c r="K20" s="5"/>
      <c r="L20" s="6">
        <v>1</v>
      </c>
      <c r="M20" s="6">
        <v>3</v>
      </c>
      <c r="N20" s="6">
        <v>1.25</v>
      </c>
      <c r="O20" s="6">
        <v>2.25</v>
      </c>
      <c r="P20" s="6">
        <v>1.5</v>
      </c>
      <c r="Q20" s="6">
        <v>-0.25</v>
      </c>
      <c r="R20" s="5"/>
    </row>
    <row r="21" spans="1:18">
      <c r="A21" s="6">
        <v>2</v>
      </c>
      <c r="B21" s="6">
        <v>-0.25</v>
      </c>
      <c r="C21" s="6">
        <v>0.5</v>
      </c>
      <c r="D21" s="6">
        <v>0.75</v>
      </c>
      <c r="E21" s="6">
        <v>2.25</v>
      </c>
      <c r="F21" s="6">
        <v>3</v>
      </c>
      <c r="G21" s="34"/>
      <c r="H21" s="34"/>
      <c r="I21" s="34"/>
      <c r="J21" s="5"/>
      <c r="K21" s="5"/>
      <c r="L21" s="6">
        <v>0.16666666666666666</v>
      </c>
      <c r="M21" s="6">
        <v>0.5</v>
      </c>
      <c r="N21" s="6">
        <v>0.5</v>
      </c>
      <c r="O21" s="6">
        <v>0.25</v>
      </c>
      <c r="P21" s="6">
        <v>0</v>
      </c>
      <c r="Q21" s="6">
        <v>-1.5</v>
      </c>
      <c r="R21" s="5"/>
    </row>
    <row r="22" spans="1:18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1:18">
      <c r="A23" s="5" t="s">
        <v>238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 t="s">
        <v>238</v>
      </c>
      <c r="M23" s="5"/>
      <c r="N23" s="5"/>
      <c r="O23" s="5"/>
      <c r="P23" s="5"/>
      <c r="Q23" s="5"/>
      <c r="R23" s="5"/>
    </row>
    <row r="24" spans="1:18">
      <c r="A24" s="5" t="s">
        <v>232</v>
      </c>
      <c r="B24" s="5">
        <v>1.6666666666666667</v>
      </c>
      <c r="C24" s="5">
        <v>0.37037037037037046</v>
      </c>
      <c r="D24" s="5"/>
      <c r="E24" s="5"/>
      <c r="F24" s="5"/>
      <c r="G24" s="5"/>
      <c r="H24" s="5"/>
      <c r="I24" s="5"/>
      <c r="J24" s="5"/>
      <c r="K24" s="5"/>
      <c r="L24" s="5" t="s">
        <v>232</v>
      </c>
      <c r="M24" s="5">
        <v>1.572916666666667</v>
      </c>
      <c r="N24" s="5">
        <v>0.65543981481481384</v>
      </c>
      <c r="O24" s="5"/>
      <c r="P24" s="5"/>
      <c r="Q24" s="5"/>
      <c r="R24" s="5"/>
    </row>
    <row r="25" spans="1:18">
      <c r="A25" s="5" t="s">
        <v>233</v>
      </c>
      <c r="B25" s="5">
        <v>1.484375</v>
      </c>
      <c r="C25" s="5">
        <v>1.1039062500000001</v>
      </c>
      <c r="D25" s="5"/>
      <c r="E25" s="5"/>
      <c r="F25" s="5"/>
      <c r="G25" s="5"/>
      <c r="H25" s="5"/>
      <c r="I25" s="5"/>
      <c r="J25" s="5"/>
      <c r="K25" s="5"/>
      <c r="L25" s="5" t="s">
        <v>233</v>
      </c>
      <c r="M25" s="5">
        <v>1.5</v>
      </c>
      <c r="N25" s="5">
        <v>1.0833333333333333</v>
      </c>
      <c r="O25" s="5"/>
      <c r="P25" s="5"/>
      <c r="Q25" s="5"/>
      <c r="R25" s="5"/>
    </row>
    <row r="26" spans="1:18">
      <c r="A26" s="5" t="s">
        <v>234</v>
      </c>
      <c r="B26" s="5">
        <v>1.5</v>
      </c>
      <c r="C26" s="5">
        <v>0.29166666666666669</v>
      </c>
      <c r="D26" s="5"/>
      <c r="E26" s="5"/>
      <c r="F26" s="5"/>
      <c r="G26" s="5"/>
      <c r="H26" s="5"/>
      <c r="I26" s="5"/>
      <c r="J26" s="5"/>
      <c r="K26" s="5"/>
      <c r="L26" s="5" t="s">
        <v>234</v>
      </c>
      <c r="M26" s="5">
        <v>1.296875</v>
      </c>
      <c r="N26" s="5">
        <v>0.83515625000000004</v>
      </c>
      <c r="O26" s="5"/>
      <c r="P26" s="5"/>
      <c r="Q26" s="5"/>
      <c r="R26" s="5"/>
    </row>
    <row r="27" spans="1:18">
      <c r="A27" s="5" t="s">
        <v>235</v>
      </c>
      <c r="B27" s="5">
        <v>1.296875</v>
      </c>
      <c r="C27" s="5">
        <v>0.41848958333333336</v>
      </c>
      <c r="D27" s="5"/>
      <c r="E27" s="5"/>
      <c r="F27" s="5"/>
      <c r="G27" s="5"/>
      <c r="H27" s="5"/>
      <c r="I27" s="5"/>
      <c r="J27" s="5"/>
      <c r="K27" s="5"/>
      <c r="L27" s="5" t="s">
        <v>235</v>
      </c>
      <c r="M27" s="5">
        <v>1.359375</v>
      </c>
      <c r="N27" s="5">
        <v>0.67473958333333328</v>
      </c>
      <c r="O27" s="5"/>
      <c r="P27" s="5"/>
      <c r="Q27" s="5"/>
      <c r="R27" s="5"/>
    </row>
    <row r="28" spans="1:18">
      <c r="A28" s="5" t="s">
        <v>236</v>
      </c>
      <c r="B28" s="5">
        <v>1.921875</v>
      </c>
      <c r="C28" s="5">
        <v>0.28932291666666665</v>
      </c>
      <c r="D28" s="5"/>
      <c r="E28" s="5"/>
      <c r="F28" s="5"/>
      <c r="G28" s="5"/>
      <c r="H28" s="5"/>
      <c r="I28" s="5"/>
      <c r="J28" s="5"/>
      <c r="K28" s="5"/>
      <c r="L28" s="5" t="s">
        <v>236</v>
      </c>
      <c r="M28" s="5">
        <v>1.59375</v>
      </c>
      <c r="N28" s="5">
        <v>0.71562499999999996</v>
      </c>
      <c r="O28" s="5"/>
      <c r="P28" s="5"/>
      <c r="Q28" s="5"/>
      <c r="R28" s="5"/>
    </row>
    <row r="29" spans="1:18">
      <c r="A29" s="5" t="s">
        <v>237</v>
      </c>
      <c r="B29" s="5">
        <v>1.9375</v>
      </c>
      <c r="C29" s="5">
        <v>0.54583333333333328</v>
      </c>
      <c r="D29" s="5"/>
      <c r="E29" s="5"/>
      <c r="F29" s="5"/>
      <c r="G29" s="5"/>
      <c r="H29" s="5"/>
      <c r="I29" s="5"/>
      <c r="J29" s="5"/>
      <c r="K29" s="5"/>
      <c r="L29" s="5" t="s">
        <v>237</v>
      </c>
      <c r="M29" s="5">
        <v>0.9375</v>
      </c>
      <c r="N29" s="5">
        <v>1.1208333333333333</v>
      </c>
      <c r="O29" s="5"/>
      <c r="P29" s="5"/>
      <c r="Q29" s="5"/>
      <c r="R29" s="5"/>
    </row>
    <row r="30" spans="1:18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1:18">
      <c r="A31" s="100" t="s">
        <v>239</v>
      </c>
      <c r="B31" s="101"/>
      <c r="C31" s="101"/>
      <c r="D31" s="101"/>
      <c r="E31" s="101"/>
      <c r="F31" s="101"/>
      <c r="G31" s="102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1:18">
      <c r="A32" s="6" t="s">
        <v>179</v>
      </c>
      <c r="B32" s="6" t="s">
        <v>240</v>
      </c>
      <c r="C32" s="6" t="s">
        <v>241</v>
      </c>
      <c r="D32" s="6" t="s">
        <v>242</v>
      </c>
      <c r="E32" s="6" t="s">
        <v>243</v>
      </c>
      <c r="F32" s="6" t="s">
        <v>244</v>
      </c>
      <c r="G32" s="6" t="s">
        <v>245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1:7">
      <c r="A33" s="91">
        <v>1</v>
      </c>
      <c r="B33" s="5">
        <f>A6-L6</f>
        <v>0.83333333333333337</v>
      </c>
      <c r="C33" s="5">
        <f>B6-M6</f>
        <v>1.25</v>
      </c>
      <c r="D33" s="5">
        <f>C6-N6</f>
        <v>1.75</v>
      </c>
      <c r="E33" s="5">
        <f>D6-O6</f>
        <v>0.75</v>
      </c>
      <c r="F33" s="5">
        <f>E6-P6</f>
        <v>0.5</v>
      </c>
      <c r="G33" s="5">
        <f>F6-Q6</f>
        <v>1.75</v>
      </c>
    </row>
    <row r="34" spans="1:7">
      <c r="A34" s="91">
        <v>2</v>
      </c>
      <c r="B34" s="5">
        <f t="shared" ref="B34:B48" si="0">A7-L7</f>
        <v>0.5</v>
      </c>
      <c r="C34" s="5">
        <f t="shared" ref="C34:C48" si="1">B7-M7</f>
        <v>0.25</v>
      </c>
      <c r="D34" s="5">
        <f t="shared" ref="D34:D48" si="2">C7-N7</f>
        <v>0.5</v>
      </c>
      <c r="E34" s="5">
        <f t="shared" ref="E34:E48" si="3">D7-O7</f>
        <v>1.5</v>
      </c>
      <c r="F34" s="5">
        <f t="shared" ref="F34:F48" si="4">E7-P7</f>
        <v>0.25</v>
      </c>
      <c r="G34" s="5">
        <f t="shared" ref="G34:G48" si="5">F7-Q7</f>
        <v>-1.25</v>
      </c>
    </row>
    <row r="35" spans="1:7">
      <c r="A35" s="91">
        <v>3</v>
      </c>
      <c r="B35" s="5">
        <f t="shared" si="0"/>
        <v>0</v>
      </c>
      <c r="C35" s="5">
        <f t="shared" si="1"/>
        <v>-0.25</v>
      </c>
      <c r="D35" s="5">
        <f t="shared" si="2"/>
        <v>-0.75</v>
      </c>
      <c r="E35" s="5">
        <f t="shared" si="3"/>
        <v>-0.5</v>
      </c>
      <c r="F35" s="5">
        <f t="shared" si="4"/>
        <v>0</v>
      </c>
      <c r="G35" s="5">
        <f t="shared" si="5"/>
        <v>0</v>
      </c>
    </row>
    <row r="36" spans="1:7">
      <c r="A36" s="91">
        <v>4</v>
      </c>
      <c r="B36" s="5">
        <f t="shared" si="0"/>
        <v>-0.66666666666666674</v>
      </c>
      <c r="C36" s="5">
        <f t="shared" si="1"/>
        <v>-1.5</v>
      </c>
      <c r="D36" s="5">
        <f t="shared" si="2"/>
        <v>-0.75</v>
      </c>
      <c r="E36" s="5">
        <f t="shared" si="3"/>
        <v>-0.5</v>
      </c>
      <c r="F36" s="5">
        <f t="shared" si="4"/>
        <v>0</v>
      </c>
      <c r="G36" s="5">
        <f t="shared" si="5"/>
        <v>0.5</v>
      </c>
    </row>
    <row r="37" spans="1:7">
      <c r="A37" s="91">
        <v>5</v>
      </c>
      <c r="B37" s="5">
        <f t="shared" si="0"/>
        <v>0.49999999999999978</v>
      </c>
      <c r="C37" s="5">
        <f t="shared" si="1"/>
        <v>0.75</v>
      </c>
      <c r="D37" s="5">
        <f t="shared" si="2"/>
        <v>1</v>
      </c>
      <c r="E37" s="5">
        <f t="shared" si="3"/>
        <v>0.5</v>
      </c>
      <c r="F37" s="5">
        <f t="shared" si="4"/>
        <v>-0.5</v>
      </c>
      <c r="G37" s="5">
        <f t="shared" si="5"/>
        <v>1.25</v>
      </c>
    </row>
    <row r="38" spans="1:7">
      <c r="A38" s="91">
        <v>6</v>
      </c>
      <c r="B38" s="5">
        <f t="shared" si="0"/>
        <v>-0.33333333333333348</v>
      </c>
      <c r="C38" s="5">
        <f t="shared" si="1"/>
        <v>-0.5</v>
      </c>
      <c r="D38" s="5">
        <f t="shared" si="2"/>
        <v>-0.25</v>
      </c>
      <c r="E38" s="5">
        <f t="shared" si="3"/>
        <v>-1</v>
      </c>
      <c r="F38" s="5">
        <f t="shared" si="4"/>
        <v>0.5</v>
      </c>
      <c r="G38" s="5">
        <f t="shared" si="5"/>
        <v>1</v>
      </c>
    </row>
    <row r="39" spans="1:7">
      <c r="A39" s="91">
        <v>7</v>
      </c>
      <c r="B39" s="5">
        <f t="shared" si="0"/>
        <v>-2.5</v>
      </c>
      <c r="C39" s="5">
        <f t="shared" si="1"/>
        <v>-2.5</v>
      </c>
      <c r="D39" s="5">
        <f t="shared" si="2"/>
        <v>-1.25</v>
      </c>
      <c r="E39" s="5">
        <f t="shared" si="3"/>
        <v>-2.5</v>
      </c>
      <c r="F39" s="5">
        <f t="shared" si="4"/>
        <v>-0.25</v>
      </c>
      <c r="G39" s="5">
        <f t="shared" si="5"/>
        <v>1.25</v>
      </c>
    </row>
    <row r="40" spans="1:7">
      <c r="A40" s="91">
        <v>8</v>
      </c>
      <c r="B40" s="5">
        <f t="shared" si="0"/>
        <v>-0.33333333333333326</v>
      </c>
      <c r="C40" s="5">
        <f t="shared" si="1"/>
        <v>-0.5</v>
      </c>
      <c r="D40" s="5">
        <f t="shared" si="2"/>
        <v>-0.75</v>
      </c>
      <c r="E40" s="5">
        <f t="shared" si="3"/>
        <v>-0.25</v>
      </c>
      <c r="F40" s="5">
        <f t="shared" si="4"/>
        <v>-0.5</v>
      </c>
      <c r="G40" s="5">
        <f t="shared" si="5"/>
        <v>1</v>
      </c>
    </row>
    <row r="41" spans="1:7">
      <c r="A41" s="91">
        <v>9</v>
      </c>
      <c r="B41" s="5">
        <f t="shared" si="0"/>
        <v>-0.16666666666666663</v>
      </c>
      <c r="C41" s="5">
        <f t="shared" si="1"/>
        <v>1</v>
      </c>
      <c r="D41" s="5">
        <f t="shared" si="2"/>
        <v>-0.25</v>
      </c>
      <c r="E41" s="5">
        <f t="shared" si="3"/>
        <v>-0.75</v>
      </c>
      <c r="F41" s="5">
        <f t="shared" si="4"/>
        <v>-0.5</v>
      </c>
      <c r="G41" s="5">
        <f t="shared" si="5"/>
        <v>1.25</v>
      </c>
    </row>
    <row r="42" spans="1:7">
      <c r="A42" s="91">
        <v>10</v>
      </c>
      <c r="B42" s="5">
        <f t="shared" si="0"/>
        <v>-0.66666666666666652</v>
      </c>
      <c r="C42" s="5">
        <f t="shared" si="1"/>
        <v>0.25</v>
      </c>
      <c r="D42" s="5">
        <f t="shared" si="2"/>
        <v>0.25</v>
      </c>
      <c r="E42" s="5">
        <f t="shared" si="3"/>
        <v>0</v>
      </c>
      <c r="F42" s="5">
        <f t="shared" si="4"/>
        <v>0.25</v>
      </c>
      <c r="G42" s="5">
        <f t="shared" si="5"/>
        <v>0</v>
      </c>
    </row>
    <row r="43" spans="1:7">
      <c r="A43" s="91">
        <v>11</v>
      </c>
      <c r="B43" s="5">
        <f t="shared" si="0"/>
        <v>0.33333333333333326</v>
      </c>
      <c r="C43" s="5">
        <f t="shared" si="1"/>
        <v>-0.25</v>
      </c>
      <c r="D43" s="5">
        <f t="shared" si="2"/>
        <v>0</v>
      </c>
      <c r="E43" s="5">
        <f t="shared" si="3"/>
        <v>0.25</v>
      </c>
      <c r="F43" s="5">
        <f t="shared" si="4"/>
        <v>0.75</v>
      </c>
      <c r="G43" s="5">
        <f t="shared" si="5"/>
        <v>1.25</v>
      </c>
    </row>
    <row r="44" spans="1:7">
      <c r="A44" s="91">
        <v>12</v>
      </c>
      <c r="B44" s="5">
        <f t="shared" si="0"/>
        <v>0.83333333333333326</v>
      </c>
      <c r="C44" s="5">
        <f t="shared" si="1"/>
        <v>2.25</v>
      </c>
      <c r="D44" s="5">
        <f t="shared" si="2"/>
        <v>0.5</v>
      </c>
      <c r="E44" s="5">
        <f t="shared" si="3"/>
        <v>0.25</v>
      </c>
      <c r="F44" s="5">
        <f t="shared" si="4"/>
        <v>0.25</v>
      </c>
      <c r="G44" s="5">
        <f t="shared" si="5"/>
        <v>0.5</v>
      </c>
    </row>
    <row r="45" spans="1:7">
      <c r="A45" s="91">
        <v>13</v>
      </c>
      <c r="B45" s="5">
        <f t="shared" si="0"/>
        <v>1</v>
      </c>
      <c r="C45" s="5">
        <f t="shared" si="1"/>
        <v>1.25</v>
      </c>
      <c r="D45" s="5">
        <f t="shared" si="2"/>
        <v>1.25</v>
      </c>
      <c r="E45" s="5">
        <f t="shared" si="3"/>
        <v>0.5</v>
      </c>
      <c r="F45" s="5">
        <f t="shared" si="4"/>
        <v>0.75</v>
      </c>
      <c r="G45" s="5">
        <f t="shared" si="5"/>
        <v>0</v>
      </c>
    </row>
    <row r="46" spans="1:7">
      <c r="A46" s="91">
        <v>14</v>
      </c>
      <c r="B46" s="5">
        <f t="shared" si="0"/>
        <v>-0.66666666666666652</v>
      </c>
      <c r="C46" s="5">
        <f t="shared" si="1"/>
        <v>-0.75</v>
      </c>
      <c r="D46" s="5">
        <f t="shared" si="2"/>
        <v>1.5</v>
      </c>
      <c r="E46" s="5">
        <f t="shared" si="3"/>
        <v>0</v>
      </c>
      <c r="F46" s="5">
        <f t="shared" si="4"/>
        <v>1.25</v>
      </c>
      <c r="G46" s="5">
        <f t="shared" si="5"/>
        <v>1</v>
      </c>
    </row>
    <row r="47" spans="1:7">
      <c r="A47" s="91">
        <v>15</v>
      </c>
      <c r="B47" s="5">
        <f t="shared" si="0"/>
        <v>1</v>
      </c>
      <c r="C47" s="5">
        <f t="shared" si="1"/>
        <v>-0.25</v>
      </c>
      <c r="D47" s="5">
        <f t="shared" si="2"/>
        <v>0.5</v>
      </c>
      <c r="E47" s="5">
        <f t="shared" si="3"/>
        <v>0.25</v>
      </c>
      <c r="F47" s="5">
        <f t="shared" si="4"/>
        <v>0.25</v>
      </c>
      <c r="G47" s="5">
        <f t="shared" si="5"/>
        <v>2</v>
      </c>
    </row>
    <row r="48" spans="1:7">
      <c r="A48" s="91">
        <v>16</v>
      </c>
      <c r="B48" s="5">
        <f t="shared" si="0"/>
        <v>1.8333333333333333</v>
      </c>
      <c r="C48" s="5">
        <f t="shared" si="1"/>
        <v>-0.75</v>
      </c>
      <c r="D48" s="5">
        <f t="shared" si="2"/>
        <v>0</v>
      </c>
      <c r="E48" s="5">
        <f t="shared" si="3"/>
        <v>0.5</v>
      </c>
      <c r="F48" s="5">
        <f t="shared" si="4"/>
        <v>2.25</v>
      </c>
      <c r="G48" s="5">
        <f t="shared" si="5"/>
        <v>4.5</v>
      </c>
    </row>
  </sheetData>
  <mergeCells count="3">
    <mergeCell ref="A31:G31"/>
    <mergeCell ref="A3:F3"/>
    <mergeCell ref="L3:Q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A0100-BA23-4703-92F6-1ABCCC22D8EA}">
  <dimension ref="A1:H38"/>
  <sheetViews>
    <sheetView workbookViewId="0">
      <selection activeCell="I15" sqref="I15"/>
    </sheetView>
  </sheetViews>
  <sheetFormatPr defaultRowHeight="12.75"/>
  <cols>
    <col min="1" max="1" width="13" customWidth="1"/>
    <col min="2" max="2" width="17.28515625" customWidth="1"/>
    <col min="3" max="3" width="23.140625" customWidth="1"/>
    <col min="5" max="5" width="13.140625" customWidth="1"/>
  </cols>
  <sheetData>
    <row r="1" spans="1:8">
      <c r="A1" s="5" t="s">
        <v>199</v>
      </c>
      <c r="B1" s="5" t="s">
        <v>246</v>
      </c>
      <c r="C1" s="5" t="s">
        <v>247</v>
      </c>
      <c r="D1" s="5"/>
      <c r="E1" s="5" t="s">
        <v>141</v>
      </c>
      <c r="F1" s="5"/>
      <c r="G1" s="5"/>
      <c r="H1" s="5"/>
    </row>
    <row r="2" spans="1:8">
      <c r="A2" s="44">
        <v>1</v>
      </c>
      <c r="B2" s="46">
        <v>315.72410000000002</v>
      </c>
      <c r="C2" s="47">
        <v>428.21170000000001</v>
      </c>
      <c r="D2" s="5"/>
      <c r="E2" s="45" t="s">
        <v>248</v>
      </c>
      <c r="F2" s="5"/>
      <c r="G2" s="5"/>
      <c r="H2" s="5"/>
    </row>
    <row r="3" spans="1:8">
      <c r="A3" s="44">
        <v>2</v>
      </c>
      <c r="B3" s="47">
        <v>361.25869999999998</v>
      </c>
      <c r="C3" s="46">
        <v>218.26660000000001</v>
      </c>
      <c r="D3" s="5"/>
      <c r="E3" s="42" t="s">
        <v>249</v>
      </c>
      <c r="F3" s="5"/>
      <c r="G3" s="5"/>
      <c r="H3" s="5"/>
    </row>
    <row r="4" spans="1:8">
      <c r="A4" s="44">
        <v>3</v>
      </c>
      <c r="B4" s="47">
        <v>358.2783</v>
      </c>
      <c r="C4" s="46">
        <v>199.81790000000001</v>
      </c>
      <c r="D4" s="5"/>
      <c r="E4" s="5"/>
      <c r="F4" s="5"/>
      <c r="G4" s="5"/>
      <c r="H4" s="5"/>
    </row>
    <row r="5" spans="1:8">
      <c r="A5" s="44">
        <v>4</v>
      </c>
      <c r="B5" s="46">
        <v>562.18460000000005</v>
      </c>
      <c r="C5" s="47">
        <v>600</v>
      </c>
      <c r="D5" s="5"/>
      <c r="E5" s="5"/>
      <c r="F5" s="5"/>
      <c r="G5" s="5"/>
      <c r="H5" s="5"/>
    </row>
    <row r="6" spans="1:8">
      <c r="A6" s="44">
        <v>5</v>
      </c>
      <c r="B6" s="46">
        <v>318.93360000000001</v>
      </c>
      <c r="C6" s="47">
        <v>521.41650000000004</v>
      </c>
      <c r="D6" s="5"/>
      <c r="E6" s="5"/>
      <c r="F6" s="5"/>
      <c r="G6" s="5"/>
      <c r="H6" s="5"/>
    </row>
    <row r="7" spans="1:8">
      <c r="A7" s="44">
        <v>6</v>
      </c>
      <c r="B7" s="47">
        <v>600</v>
      </c>
      <c r="C7" s="46">
        <v>381.79939999999999</v>
      </c>
      <c r="D7" s="5"/>
      <c r="E7" s="5"/>
      <c r="F7" s="5"/>
      <c r="G7" s="5"/>
      <c r="H7" s="5"/>
    </row>
    <row r="8" spans="1:8">
      <c r="A8" s="44">
        <v>7</v>
      </c>
      <c r="B8" s="47">
        <v>600</v>
      </c>
      <c r="C8" s="46">
        <v>164.80080000000001</v>
      </c>
      <c r="D8" s="5"/>
      <c r="E8" s="5"/>
      <c r="F8" s="5"/>
      <c r="G8" s="5"/>
      <c r="H8" s="5"/>
    </row>
    <row r="9" spans="1:8">
      <c r="A9" s="44">
        <v>8</v>
      </c>
      <c r="B9" s="46">
        <v>468.11680000000001</v>
      </c>
      <c r="C9" s="47">
        <v>464.76859999999999</v>
      </c>
      <c r="D9" s="5"/>
      <c r="E9" s="5"/>
      <c r="F9" s="5"/>
      <c r="G9" s="5"/>
      <c r="H9" s="5"/>
    </row>
    <row r="10" spans="1:8">
      <c r="A10" s="44">
        <v>9</v>
      </c>
      <c r="B10" s="46">
        <v>159.4941</v>
      </c>
      <c r="C10" s="47">
        <v>338.21559999999999</v>
      </c>
      <c r="D10" s="5"/>
      <c r="E10" s="5"/>
      <c r="F10" s="5"/>
      <c r="G10" s="5"/>
      <c r="H10" s="5"/>
    </row>
    <row r="11" spans="1:8">
      <c r="A11" s="44">
        <v>10</v>
      </c>
      <c r="B11" s="47">
        <v>297.08589999999998</v>
      </c>
      <c r="C11" s="46">
        <v>102.7842</v>
      </c>
      <c r="D11" s="5"/>
      <c r="E11" s="5"/>
      <c r="F11" s="5"/>
      <c r="G11" s="5"/>
      <c r="H11" s="5"/>
    </row>
    <row r="12" spans="1:8">
      <c r="A12" s="44">
        <v>11</v>
      </c>
      <c r="B12" s="47">
        <v>412.37509999999997</v>
      </c>
      <c r="C12" s="46">
        <v>428.93380000000002</v>
      </c>
      <c r="D12" s="5"/>
      <c r="E12" s="5"/>
      <c r="F12" s="5"/>
      <c r="G12" s="5"/>
      <c r="H12" s="5"/>
    </row>
    <row r="13" spans="1:8">
      <c r="A13" s="44">
        <v>12</v>
      </c>
      <c r="B13" s="46">
        <v>322.61770000000001</v>
      </c>
      <c r="C13" s="47">
        <v>352.36239999999998</v>
      </c>
      <c r="D13" s="5"/>
      <c r="E13" s="5"/>
      <c r="F13" s="5"/>
      <c r="G13" s="5"/>
      <c r="H13" s="5"/>
    </row>
    <row r="14" spans="1:8">
      <c r="A14" s="44">
        <v>13</v>
      </c>
      <c r="B14" s="46">
        <v>409.51069999999999</v>
      </c>
      <c r="C14" s="47">
        <v>456.58920000000001</v>
      </c>
      <c r="D14" s="5"/>
      <c r="E14" s="5"/>
      <c r="F14" s="5"/>
      <c r="G14" s="5"/>
      <c r="H14" s="5"/>
    </row>
    <row r="15" spans="1:8">
      <c r="A15" s="44">
        <v>14</v>
      </c>
      <c r="B15" s="47">
        <v>380.59140000000002</v>
      </c>
      <c r="C15" s="46">
        <v>402.43900000000002</v>
      </c>
      <c r="D15" s="5"/>
      <c r="E15" s="5"/>
      <c r="F15" s="5"/>
      <c r="G15" s="5"/>
      <c r="H15" s="5"/>
    </row>
    <row r="16" spans="1:8">
      <c r="A16" s="44">
        <v>15</v>
      </c>
      <c r="B16" s="47">
        <v>449.42860000000002</v>
      </c>
      <c r="C16" s="46">
        <v>393.90280000000001</v>
      </c>
      <c r="D16" s="5"/>
      <c r="E16" s="5"/>
      <c r="F16" s="5"/>
      <c r="G16" s="5"/>
      <c r="H16" s="5"/>
    </row>
    <row r="17" spans="1:3">
      <c r="A17" s="44">
        <v>16</v>
      </c>
      <c r="B17" s="46">
        <v>441.5976</v>
      </c>
      <c r="C17" s="47">
        <v>421.97930000000002</v>
      </c>
    </row>
    <row r="21" spans="1:3">
      <c r="A21" s="5" t="s">
        <v>199</v>
      </c>
      <c r="B21" s="5" t="s">
        <v>250</v>
      </c>
      <c r="C21" s="5"/>
    </row>
    <row r="22" spans="1:3">
      <c r="A22" s="44">
        <v>1</v>
      </c>
      <c r="B22" s="48">
        <f>B2-C2</f>
        <v>-112.48759999999999</v>
      </c>
      <c r="C22" s="5"/>
    </row>
    <row r="23" spans="1:3">
      <c r="A23" s="44">
        <v>2</v>
      </c>
      <c r="B23" s="48">
        <f t="shared" ref="B23:B37" si="0">B3-C3</f>
        <v>142.99209999999997</v>
      </c>
      <c r="C23" s="5"/>
    </row>
    <row r="24" spans="1:3">
      <c r="A24" s="44">
        <v>3</v>
      </c>
      <c r="B24" s="48">
        <f t="shared" si="0"/>
        <v>158.46039999999999</v>
      </c>
      <c r="C24" s="5"/>
    </row>
    <row r="25" spans="1:3">
      <c r="A25" s="44">
        <v>4</v>
      </c>
      <c r="B25" s="48">
        <f t="shared" si="0"/>
        <v>-37.815399999999954</v>
      </c>
      <c r="C25" s="5"/>
    </row>
    <row r="26" spans="1:3">
      <c r="A26" s="44">
        <v>5</v>
      </c>
      <c r="B26" s="48">
        <f t="shared" si="0"/>
        <v>-202.48290000000003</v>
      </c>
      <c r="C26" s="5"/>
    </row>
    <row r="27" spans="1:3">
      <c r="A27" s="44">
        <v>6</v>
      </c>
      <c r="B27" s="48">
        <f t="shared" si="0"/>
        <v>218.20060000000001</v>
      </c>
      <c r="C27" s="5"/>
    </row>
    <row r="28" spans="1:3">
      <c r="A28" s="44">
        <v>7</v>
      </c>
      <c r="B28" s="48">
        <f t="shared" si="0"/>
        <v>435.19920000000002</v>
      </c>
      <c r="C28" s="5"/>
    </row>
    <row r="29" spans="1:3">
      <c r="A29" s="44">
        <v>8</v>
      </c>
      <c r="B29" s="48">
        <f>C9-B9</f>
        <v>-3.3482000000000198</v>
      </c>
      <c r="C29" s="5"/>
    </row>
    <row r="30" spans="1:3">
      <c r="A30" s="44">
        <v>9</v>
      </c>
      <c r="B30" s="48">
        <f t="shared" si="0"/>
        <v>-178.72149999999999</v>
      </c>
      <c r="C30" s="5"/>
    </row>
    <row r="31" spans="1:3">
      <c r="A31" s="44">
        <v>10</v>
      </c>
      <c r="B31" s="48">
        <f t="shared" si="0"/>
        <v>194.30169999999998</v>
      </c>
      <c r="C31" s="5"/>
    </row>
    <row r="32" spans="1:3">
      <c r="A32" s="44">
        <v>11</v>
      </c>
      <c r="B32" s="48">
        <f t="shared" si="0"/>
        <v>-16.558700000000044</v>
      </c>
      <c r="C32" s="5"/>
    </row>
    <row r="33" spans="1:2">
      <c r="A33" s="44">
        <v>12</v>
      </c>
      <c r="B33" s="48">
        <f t="shared" si="0"/>
        <v>-29.744699999999966</v>
      </c>
    </row>
    <row r="34" spans="1:2">
      <c r="A34" s="44">
        <v>13</v>
      </c>
      <c r="B34" s="48">
        <f t="shared" si="0"/>
        <v>-47.07850000000002</v>
      </c>
    </row>
    <row r="35" spans="1:2">
      <c r="A35" s="44">
        <v>14</v>
      </c>
      <c r="B35" s="48">
        <f t="shared" si="0"/>
        <v>-21.8476</v>
      </c>
    </row>
    <row r="36" spans="1:2">
      <c r="A36" s="44">
        <v>15</v>
      </c>
      <c r="B36" s="48">
        <f t="shared" si="0"/>
        <v>55.525800000000004</v>
      </c>
    </row>
    <row r="37" spans="1:2">
      <c r="A37" s="44">
        <v>16</v>
      </c>
      <c r="B37" s="48">
        <f t="shared" si="0"/>
        <v>19.618299999999977</v>
      </c>
    </row>
    <row r="38" spans="1:2">
      <c r="A38" s="5"/>
      <c r="B38" s="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9A762-74AE-479D-8BFD-A51CCFA0F4E4}">
  <dimension ref="A1:AN68"/>
  <sheetViews>
    <sheetView workbookViewId="0">
      <selection activeCell="A14" sqref="A14:B24"/>
    </sheetView>
  </sheetViews>
  <sheetFormatPr defaultRowHeight="12.75"/>
  <cols>
    <col min="1" max="1" width="13.42578125" customWidth="1"/>
    <col min="4" max="4" width="9.140625" style="5"/>
    <col min="6" max="6" width="9.140625" style="5"/>
    <col min="8" max="8" width="9.140625" style="5"/>
    <col min="10" max="10" width="9.140625" style="5"/>
    <col min="12" max="12" width="9.140625" style="5"/>
    <col min="14" max="14" width="9.140625" style="5"/>
    <col min="16" max="16" width="9.140625" style="5"/>
    <col min="18" max="18" width="9.140625" style="5"/>
    <col min="20" max="20" width="9.140625" style="5"/>
    <col min="40" max="40" width="14.28515625" customWidth="1"/>
  </cols>
  <sheetData>
    <row r="1" spans="1:40">
      <c r="A1" s="5" t="s">
        <v>251</v>
      </c>
      <c r="B1" s="5"/>
      <c r="C1" s="107">
        <v>1</v>
      </c>
      <c r="D1" s="108"/>
      <c r="E1" s="109">
        <v>2</v>
      </c>
      <c r="F1" s="109"/>
      <c r="G1" s="101">
        <v>3</v>
      </c>
      <c r="H1" s="101"/>
      <c r="I1" s="101">
        <v>4</v>
      </c>
      <c r="J1" s="101"/>
      <c r="K1" s="101">
        <v>5</v>
      </c>
      <c r="L1" s="101"/>
      <c r="M1" s="101">
        <v>6</v>
      </c>
      <c r="N1" s="101"/>
      <c r="O1" s="101">
        <v>7</v>
      </c>
      <c r="P1" s="101"/>
      <c r="Q1" s="101">
        <v>8</v>
      </c>
      <c r="R1" s="101"/>
      <c r="S1" s="101">
        <v>9</v>
      </c>
      <c r="T1" s="101"/>
      <c r="U1" s="101">
        <v>10</v>
      </c>
      <c r="V1" s="101"/>
      <c r="W1" s="101">
        <v>11</v>
      </c>
      <c r="X1" s="101"/>
      <c r="Y1" s="101">
        <v>12</v>
      </c>
      <c r="Z1" s="101"/>
      <c r="AA1" s="101">
        <v>13</v>
      </c>
      <c r="AB1" s="101"/>
      <c r="AC1" s="101">
        <v>14</v>
      </c>
      <c r="AD1" s="101"/>
      <c r="AE1" s="101">
        <v>15</v>
      </c>
      <c r="AF1" s="101"/>
      <c r="AG1" s="101">
        <v>16</v>
      </c>
      <c r="AH1" s="102"/>
      <c r="AI1" s="103" t="s">
        <v>252</v>
      </c>
      <c r="AJ1" s="103"/>
      <c r="AK1" s="103"/>
      <c r="AL1" s="6">
        <v>0.3</v>
      </c>
      <c r="AM1" s="5"/>
      <c r="AN1" s="5" t="s">
        <v>141</v>
      </c>
    </row>
    <row r="2" spans="1:40">
      <c r="A2" s="104" t="s">
        <v>189</v>
      </c>
      <c r="B2" s="106"/>
      <c r="C2" s="53" t="s">
        <v>253</v>
      </c>
      <c r="D2" s="54" t="s">
        <v>254</v>
      </c>
      <c r="E2" s="52" t="s">
        <v>253</v>
      </c>
      <c r="F2" s="56" t="s">
        <v>254</v>
      </c>
      <c r="G2" s="52" t="s">
        <v>253</v>
      </c>
      <c r="H2" s="56" t="s">
        <v>254</v>
      </c>
      <c r="I2" s="57" t="s">
        <v>253</v>
      </c>
      <c r="J2" s="57" t="s">
        <v>254</v>
      </c>
      <c r="K2" s="57" t="s">
        <v>253</v>
      </c>
      <c r="L2" s="57" t="s">
        <v>254</v>
      </c>
      <c r="M2" s="52" t="s">
        <v>253</v>
      </c>
      <c r="N2" s="52" t="s">
        <v>254</v>
      </c>
      <c r="O2" s="52" t="s">
        <v>253</v>
      </c>
      <c r="P2" s="52" t="s">
        <v>254</v>
      </c>
      <c r="Q2" s="57" t="s">
        <v>253</v>
      </c>
      <c r="R2" s="57" t="s">
        <v>254</v>
      </c>
      <c r="S2" s="57" t="s">
        <v>253</v>
      </c>
      <c r="T2" s="57" t="s">
        <v>254</v>
      </c>
      <c r="U2" s="52" t="s">
        <v>253</v>
      </c>
      <c r="V2" s="52" t="s">
        <v>254</v>
      </c>
      <c r="W2" s="52" t="s">
        <v>253</v>
      </c>
      <c r="X2" s="52" t="s">
        <v>254</v>
      </c>
      <c r="Y2" s="57" t="s">
        <v>253</v>
      </c>
      <c r="Z2" s="57" t="s">
        <v>254</v>
      </c>
      <c r="AA2" s="57" t="s">
        <v>253</v>
      </c>
      <c r="AB2" s="57" t="s">
        <v>254</v>
      </c>
      <c r="AC2" s="52" t="s">
        <v>253</v>
      </c>
      <c r="AD2" s="52" t="s">
        <v>254</v>
      </c>
      <c r="AE2" s="52" t="s">
        <v>253</v>
      </c>
      <c r="AF2" s="52" t="s">
        <v>254</v>
      </c>
      <c r="AG2" s="57" t="s">
        <v>253</v>
      </c>
      <c r="AH2" s="54" t="s">
        <v>254</v>
      </c>
      <c r="AI2" s="97" t="s">
        <v>255</v>
      </c>
      <c r="AJ2" s="97"/>
      <c r="AK2" s="97"/>
      <c r="AL2" s="6">
        <v>0.4</v>
      </c>
      <c r="AM2" s="5"/>
      <c r="AN2" s="45" t="s">
        <v>248</v>
      </c>
    </row>
    <row r="3" spans="1:40">
      <c r="A3" s="104"/>
      <c r="B3" s="106"/>
      <c r="C3" s="53" t="s">
        <v>256</v>
      </c>
      <c r="D3" s="54">
        <v>0.23958670000000001</v>
      </c>
      <c r="E3" s="52" t="s">
        <v>256</v>
      </c>
      <c r="F3" s="63">
        <v>0.55236569999999996</v>
      </c>
      <c r="G3" s="52" t="s">
        <v>256</v>
      </c>
      <c r="H3" s="56">
        <v>0.3966925</v>
      </c>
      <c r="I3" s="57" t="s">
        <v>256</v>
      </c>
      <c r="J3" s="57">
        <v>0.2005778</v>
      </c>
      <c r="K3" s="57" t="s">
        <v>256</v>
      </c>
      <c r="L3" s="57">
        <v>0.14867759999999999</v>
      </c>
      <c r="M3" s="52" t="s">
        <v>256</v>
      </c>
      <c r="N3" s="52">
        <v>0.5461009</v>
      </c>
      <c r="O3" s="52" t="s">
        <v>256</v>
      </c>
      <c r="P3" s="52">
        <v>0.6907626</v>
      </c>
      <c r="Q3" s="57" t="s">
        <v>256</v>
      </c>
      <c r="R3" s="57">
        <v>0.18703629999999999</v>
      </c>
      <c r="S3" s="57" t="s">
        <v>256</v>
      </c>
      <c r="T3" s="57">
        <v>0.26001360000000001</v>
      </c>
      <c r="U3" s="52" t="s">
        <v>256</v>
      </c>
      <c r="V3" s="52">
        <v>0.55454990000000004</v>
      </c>
      <c r="W3" s="52" t="s">
        <v>256</v>
      </c>
      <c r="X3" s="52">
        <v>0.41283829999999999</v>
      </c>
      <c r="Y3" s="57" t="s">
        <v>256</v>
      </c>
      <c r="Z3" s="57">
        <v>0.235379</v>
      </c>
      <c r="AA3" s="57" t="s">
        <v>256</v>
      </c>
      <c r="AB3" s="57">
        <v>0.23002429999999999</v>
      </c>
      <c r="AC3" s="52" t="s">
        <v>256</v>
      </c>
      <c r="AD3" s="52">
        <v>0.29488839999999999</v>
      </c>
      <c r="AE3" s="52" t="s">
        <v>256</v>
      </c>
      <c r="AF3" s="52">
        <v>0.53111260000000005</v>
      </c>
      <c r="AG3" s="57" t="s">
        <v>256</v>
      </c>
      <c r="AH3" s="54">
        <v>0.29489670000000001</v>
      </c>
      <c r="AI3" s="5"/>
      <c r="AJ3" s="5"/>
      <c r="AK3" s="5"/>
      <c r="AL3" s="5"/>
      <c r="AM3" s="5"/>
      <c r="AN3" s="42" t="s">
        <v>249</v>
      </c>
    </row>
    <row r="4" spans="1:40">
      <c r="A4" s="104"/>
      <c r="B4" s="106"/>
      <c r="C4" s="53" t="s">
        <v>257</v>
      </c>
      <c r="D4" s="54">
        <v>0.27558100000000002</v>
      </c>
      <c r="E4" s="52" t="s">
        <v>257</v>
      </c>
      <c r="F4" s="63">
        <v>0.55235679999999998</v>
      </c>
      <c r="G4" s="52" t="s">
        <v>257</v>
      </c>
      <c r="H4" s="56">
        <v>0.3966925</v>
      </c>
      <c r="I4" s="57" t="s">
        <v>257</v>
      </c>
      <c r="J4" s="57">
        <v>0.2005778</v>
      </c>
      <c r="K4" s="57" t="s">
        <v>257</v>
      </c>
      <c r="L4" s="57">
        <v>0.286549</v>
      </c>
      <c r="M4" s="52" t="s">
        <v>257</v>
      </c>
      <c r="N4" s="52">
        <v>0.61160270000000005</v>
      </c>
      <c r="O4" s="52" t="s">
        <v>257</v>
      </c>
      <c r="P4" s="52">
        <v>0.6907624</v>
      </c>
      <c r="Q4" s="57" t="s">
        <v>257</v>
      </c>
      <c r="R4" s="57">
        <v>0.18703639999999999</v>
      </c>
      <c r="S4" s="57" t="s">
        <v>257</v>
      </c>
      <c r="T4" s="57">
        <v>0.23643330000000001</v>
      </c>
      <c r="U4" s="52" t="s">
        <v>257</v>
      </c>
      <c r="V4" s="52">
        <v>0.55454979999999998</v>
      </c>
      <c r="W4" s="52" t="s">
        <v>257</v>
      </c>
      <c r="X4" s="52">
        <v>0.41283429999999999</v>
      </c>
      <c r="Y4" s="57" t="s">
        <v>257</v>
      </c>
      <c r="Z4" s="57">
        <v>0.27252969999999999</v>
      </c>
      <c r="AA4" s="57" t="s">
        <v>257</v>
      </c>
      <c r="AB4" s="57">
        <v>0.2694145</v>
      </c>
      <c r="AC4" s="52" t="s">
        <v>257</v>
      </c>
      <c r="AD4" s="52">
        <v>0.29488839999999999</v>
      </c>
      <c r="AE4" s="52" t="s">
        <v>257</v>
      </c>
      <c r="AF4" s="52">
        <v>0.5913062</v>
      </c>
      <c r="AG4" s="57" t="s">
        <v>257</v>
      </c>
      <c r="AH4" s="54">
        <v>0.29489670000000001</v>
      </c>
      <c r="AI4" s="5"/>
      <c r="AJ4" s="5"/>
      <c r="AK4" s="5"/>
      <c r="AL4" s="5"/>
      <c r="AM4" s="5"/>
      <c r="AN4" s="5"/>
    </row>
    <row r="5" spans="1:40">
      <c r="A5" s="104"/>
      <c r="B5" s="106"/>
      <c r="C5" s="53" t="s">
        <v>258</v>
      </c>
      <c r="D5" s="54">
        <v>0.27646949999999998</v>
      </c>
      <c r="E5" s="52" t="s">
        <v>258</v>
      </c>
      <c r="F5" s="63">
        <v>0.55235639999999997</v>
      </c>
      <c r="G5" s="52" t="s">
        <v>258</v>
      </c>
      <c r="H5" s="56">
        <v>0.3966925</v>
      </c>
      <c r="I5" s="57" t="s">
        <v>258</v>
      </c>
      <c r="J5" s="57">
        <v>0.2005778</v>
      </c>
      <c r="K5" s="57" t="s">
        <v>258</v>
      </c>
      <c r="L5" s="57">
        <v>0.28589999999999999</v>
      </c>
      <c r="M5" s="52" t="s">
        <v>258</v>
      </c>
      <c r="N5" s="52">
        <v>0.53758220000000001</v>
      </c>
      <c r="O5" s="52" t="s">
        <v>258</v>
      </c>
      <c r="P5" s="52">
        <v>0.69076269999999995</v>
      </c>
      <c r="Q5" s="57" t="s">
        <v>258</v>
      </c>
      <c r="R5" s="57">
        <v>0.18703629999999999</v>
      </c>
      <c r="S5" s="57" t="s">
        <v>258</v>
      </c>
      <c r="T5" s="57">
        <v>0.2364337</v>
      </c>
      <c r="U5" s="52" t="s">
        <v>258</v>
      </c>
      <c r="V5" s="52">
        <v>0.64172459999999998</v>
      </c>
      <c r="W5" s="52" t="s">
        <v>258</v>
      </c>
      <c r="X5" s="52">
        <v>0.48572110000000002</v>
      </c>
      <c r="Y5" s="57" t="s">
        <v>258</v>
      </c>
      <c r="Z5" s="57">
        <v>0.23235259999999999</v>
      </c>
      <c r="AA5" s="57" t="s">
        <v>258</v>
      </c>
      <c r="AB5" s="57">
        <v>0.2694145</v>
      </c>
      <c r="AC5" s="52" t="s">
        <v>258</v>
      </c>
      <c r="AD5" s="52">
        <v>0.29488839999999999</v>
      </c>
      <c r="AE5" s="52" t="s">
        <v>258</v>
      </c>
      <c r="AF5" s="52">
        <v>0.5913062</v>
      </c>
      <c r="AG5" s="57" t="s">
        <v>258</v>
      </c>
      <c r="AH5" s="54">
        <v>0.33215509999999998</v>
      </c>
      <c r="AI5" s="5"/>
      <c r="AJ5" s="5"/>
      <c r="AK5" s="5"/>
      <c r="AL5" s="5"/>
      <c r="AM5" s="5"/>
      <c r="AN5" s="5"/>
    </row>
    <row r="6" spans="1:40">
      <c r="A6" s="104"/>
      <c r="B6" s="106"/>
      <c r="C6" s="53" t="s">
        <v>259</v>
      </c>
      <c r="D6" s="54">
        <v>0.27646949999999998</v>
      </c>
      <c r="E6" s="52" t="s">
        <v>259</v>
      </c>
      <c r="F6" s="63">
        <v>0.5523555</v>
      </c>
      <c r="G6" s="52" t="s">
        <v>259</v>
      </c>
      <c r="H6" s="56">
        <v>0.3966925</v>
      </c>
      <c r="I6" s="57" t="s">
        <v>259</v>
      </c>
      <c r="J6" s="57">
        <v>0.2005778</v>
      </c>
      <c r="K6" s="57" t="s">
        <v>259</v>
      </c>
      <c r="L6" s="57">
        <v>0.28591420000000001</v>
      </c>
      <c r="M6" s="52" t="s">
        <v>259</v>
      </c>
      <c r="N6" s="52">
        <v>0.537582</v>
      </c>
      <c r="O6" s="52" t="s">
        <v>259</v>
      </c>
      <c r="P6" s="52">
        <v>0.69076159999999998</v>
      </c>
      <c r="Q6" s="57" t="s">
        <v>259</v>
      </c>
      <c r="R6" s="57">
        <v>0.18703629999999999</v>
      </c>
      <c r="S6" s="57" t="s">
        <v>259</v>
      </c>
      <c r="T6" s="57">
        <v>0.2364339</v>
      </c>
      <c r="U6" s="52" t="s">
        <v>259</v>
      </c>
      <c r="V6" s="52">
        <v>0.64172450000000003</v>
      </c>
      <c r="W6" s="52" t="s">
        <v>259</v>
      </c>
      <c r="X6" s="52">
        <v>0.4857205</v>
      </c>
      <c r="Y6" s="57" t="s">
        <v>259</v>
      </c>
      <c r="Z6" s="57">
        <v>0.23235259999999999</v>
      </c>
      <c r="AA6" s="57" t="s">
        <v>259</v>
      </c>
      <c r="AB6" s="57">
        <v>0.2694145</v>
      </c>
      <c r="AC6" s="52" t="s">
        <v>259</v>
      </c>
      <c r="AD6" s="52">
        <v>0.3328315</v>
      </c>
      <c r="AE6" s="52" t="s">
        <v>259</v>
      </c>
      <c r="AF6" s="52">
        <v>0.5913062</v>
      </c>
      <c r="AG6" s="57" t="s">
        <v>259</v>
      </c>
      <c r="AH6" s="54">
        <v>0.29566199999999998</v>
      </c>
      <c r="AI6" s="5"/>
      <c r="AJ6" s="5"/>
      <c r="AK6" s="5"/>
      <c r="AL6" s="5"/>
      <c r="AM6" s="5"/>
      <c r="AN6" s="5"/>
    </row>
    <row r="7" spans="1:40">
      <c r="A7" s="104"/>
      <c r="B7" s="106"/>
      <c r="C7" s="53" t="s">
        <v>260</v>
      </c>
      <c r="D7" s="54">
        <v>0.27653250000000001</v>
      </c>
      <c r="E7" s="52" t="s">
        <v>260</v>
      </c>
      <c r="F7" s="63">
        <v>0.55235480000000003</v>
      </c>
      <c r="G7" s="52" t="s">
        <v>260</v>
      </c>
      <c r="H7" s="56">
        <v>0.3966925</v>
      </c>
      <c r="I7" s="57" t="s">
        <v>260</v>
      </c>
      <c r="J7" s="57">
        <v>0.2005778</v>
      </c>
      <c r="K7" s="57" t="s">
        <v>260</v>
      </c>
      <c r="L7" s="57">
        <v>0.2859005</v>
      </c>
      <c r="M7" s="52" t="s">
        <v>260</v>
      </c>
      <c r="N7" s="52">
        <v>0.53758229999999996</v>
      </c>
      <c r="O7" s="52" t="s">
        <v>260</v>
      </c>
      <c r="P7" s="52">
        <v>0.69326940000000004</v>
      </c>
      <c r="Q7" s="57" t="s">
        <v>260</v>
      </c>
      <c r="R7" s="57">
        <v>0.18703629999999999</v>
      </c>
      <c r="S7" s="57" t="s">
        <v>260</v>
      </c>
      <c r="T7" s="57">
        <v>0.23643420000000001</v>
      </c>
      <c r="U7" s="52" t="s">
        <v>260</v>
      </c>
      <c r="V7" s="52">
        <v>0.64172450000000003</v>
      </c>
      <c r="W7" s="52" t="s">
        <v>260</v>
      </c>
      <c r="X7" s="52">
        <v>0.39725080000000002</v>
      </c>
      <c r="Y7" s="57" t="s">
        <v>260</v>
      </c>
      <c r="Z7" s="57">
        <v>0.23235259999999999</v>
      </c>
      <c r="AA7" s="57" t="s">
        <v>260</v>
      </c>
      <c r="AB7" s="57">
        <v>0.2320332</v>
      </c>
      <c r="AC7" s="52" t="s">
        <v>260</v>
      </c>
      <c r="AD7" s="52">
        <v>0.29564439999999997</v>
      </c>
      <c r="AE7" s="52" t="s">
        <v>260</v>
      </c>
      <c r="AF7" s="52">
        <v>0.5913062</v>
      </c>
      <c r="AG7" s="57" t="s">
        <v>260</v>
      </c>
      <c r="AH7" s="54">
        <v>0.29567019999999999</v>
      </c>
      <c r="AI7" s="5"/>
      <c r="AJ7" s="5"/>
      <c r="AK7" s="5"/>
      <c r="AL7" s="5"/>
      <c r="AM7" s="5"/>
      <c r="AN7" s="5"/>
    </row>
    <row r="8" spans="1:40">
      <c r="A8" s="104"/>
      <c r="B8" s="106"/>
      <c r="C8" s="53" t="s">
        <v>261</v>
      </c>
      <c r="D8" s="54">
        <v>0.27589279999999999</v>
      </c>
      <c r="E8" s="52" t="s">
        <v>261</v>
      </c>
      <c r="F8" s="63">
        <v>0.60216049999999999</v>
      </c>
      <c r="G8" s="52" t="s">
        <v>261</v>
      </c>
      <c r="H8" s="56">
        <v>0.39693139999999999</v>
      </c>
      <c r="I8" s="57" t="s">
        <v>261</v>
      </c>
      <c r="J8" s="57">
        <v>0.38319760000000003</v>
      </c>
      <c r="K8" s="57" t="s">
        <v>261</v>
      </c>
      <c r="L8" s="57">
        <v>0.21135609999999999</v>
      </c>
      <c r="M8" s="52" t="s">
        <v>261</v>
      </c>
      <c r="N8" s="52">
        <v>0.57547360000000003</v>
      </c>
      <c r="O8" s="52" t="s">
        <v>261</v>
      </c>
      <c r="P8" s="52">
        <v>0.75026610000000005</v>
      </c>
      <c r="Q8" s="57" t="s">
        <v>261</v>
      </c>
      <c r="R8" s="57">
        <v>0.1870513</v>
      </c>
      <c r="S8" s="57" t="s">
        <v>261</v>
      </c>
      <c r="T8" s="57">
        <v>0.49322850000000001</v>
      </c>
      <c r="U8" s="52" t="s">
        <v>261</v>
      </c>
      <c r="V8" s="52">
        <v>0.83610240000000002</v>
      </c>
      <c r="W8" s="52" t="s">
        <v>261</v>
      </c>
      <c r="X8" s="52">
        <v>0.41320509999999999</v>
      </c>
      <c r="Y8" s="57" t="s">
        <v>261</v>
      </c>
      <c r="Z8" s="57">
        <v>0.27563389999999999</v>
      </c>
      <c r="AA8" s="57" t="s">
        <v>261</v>
      </c>
      <c r="AB8" s="57">
        <v>0.23503379999999999</v>
      </c>
      <c r="AC8" s="52" t="s">
        <v>261</v>
      </c>
      <c r="AD8" s="52">
        <v>0.29509170000000001</v>
      </c>
      <c r="AE8" s="52" t="s">
        <v>261</v>
      </c>
      <c r="AF8" s="52">
        <v>0.53132939999999995</v>
      </c>
      <c r="AG8" s="57" t="s">
        <v>261</v>
      </c>
      <c r="AH8" s="54">
        <v>0.29500270000000001</v>
      </c>
      <c r="AI8" s="5"/>
      <c r="AJ8" s="5"/>
      <c r="AK8" s="5"/>
      <c r="AL8" s="5"/>
      <c r="AM8" s="5"/>
      <c r="AN8" s="5"/>
    </row>
    <row r="9" spans="1:40">
      <c r="A9" s="104"/>
      <c r="B9" s="106"/>
      <c r="C9" s="53" t="s">
        <v>262</v>
      </c>
      <c r="D9" s="54">
        <v>0.27588119999999999</v>
      </c>
      <c r="E9" s="52" t="s">
        <v>262</v>
      </c>
      <c r="F9" s="63">
        <v>0.60215989999999997</v>
      </c>
      <c r="G9" s="52" t="s">
        <v>262</v>
      </c>
      <c r="H9" s="56">
        <v>0.39693129999999999</v>
      </c>
      <c r="I9" s="57" t="s">
        <v>262</v>
      </c>
      <c r="J9" s="57">
        <v>0.38319740000000002</v>
      </c>
      <c r="K9" s="57" t="s">
        <v>262</v>
      </c>
      <c r="L9" s="57">
        <v>0.24927550000000001</v>
      </c>
      <c r="M9" s="52" t="s">
        <v>262</v>
      </c>
      <c r="N9" s="52">
        <v>0.64101909999999995</v>
      </c>
      <c r="O9" s="52" t="s">
        <v>262</v>
      </c>
      <c r="P9" s="52">
        <v>0.75026539999999997</v>
      </c>
      <c r="Q9" s="57" t="s">
        <v>262</v>
      </c>
      <c r="R9" s="57">
        <v>0.1870513</v>
      </c>
      <c r="S9" s="57" t="s">
        <v>262</v>
      </c>
      <c r="T9" s="57">
        <v>0.47833229999999999</v>
      </c>
      <c r="U9" s="52" t="s">
        <v>262</v>
      </c>
      <c r="V9" s="52">
        <v>0.83610249999999997</v>
      </c>
      <c r="W9" s="52" t="s">
        <v>262</v>
      </c>
      <c r="X9" s="52">
        <v>0.45140799999999998</v>
      </c>
      <c r="Y9" s="57" t="s">
        <v>262</v>
      </c>
      <c r="Z9" s="57">
        <v>0.27563389999999999</v>
      </c>
      <c r="AA9" s="57" t="s">
        <v>262</v>
      </c>
      <c r="AB9" s="57">
        <v>0.23503379999999999</v>
      </c>
      <c r="AC9" s="52" t="s">
        <v>262</v>
      </c>
      <c r="AD9" s="52">
        <v>0.29509170000000001</v>
      </c>
      <c r="AE9" s="52" t="s">
        <v>262</v>
      </c>
      <c r="AF9" s="52">
        <v>0.59154640000000003</v>
      </c>
      <c r="AG9" s="57" t="s">
        <v>262</v>
      </c>
      <c r="AH9" s="54">
        <v>0.29500270000000001</v>
      </c>
      <c r="AI9" s="5"/>
      <c r="AJ9" s="5"/>
      <c r="AK9" s="5"/>
      <c r="AL9" s="5"/>
      <c r="AM9" s="5"/>
      <c r="AN9" s="5"/>
    </row>
    <row r="10" spans="1:40">
      <c r="A10" s="104"/>
      <c r="B10" s="106"/>
      <c r="C10" s="53" t="s">
        <v>263</v>
      </c>
      <c r="D10" s="54">
        <v>0.3114538</v>
      </c>
      <c r="E10" s="52" t="s">
        <v>263</v>
      </c>
      <c r="F10" s="63">
        <v>0.60215920000000001</v>
      </c>
      <c r="G10" s="52" t="s">
        <v>263</v>
      </c>
      <c r="H10" s="56">
        <v>0.39693129999999999</v>
      </c>
      <c r="I10" s="57" t="s">
        <v>263</v>
      </c>
      <c r="J10" s="57">
        <v>0.38319710000000001</v>
      </c>
      <c r="K10" s="57" t="s">
        <v>263</v>
      </c>
      <c r="L10" s="57">
        <v>0.24927569999999999</v>
      </c>
      <c r="M10" s="52" t="s">
        <v>263</v>
      </c>
      <c r="N10" s="52">
        <v>0.56693740000000004</v>
      </c>
      <c r="O10" s="52" t="s">
        <v>263</v>
      </c>
      <c r="P10" s="52">
        <v>0.69645400000000002</v>
      </c>
      <c r="Q10" s="57" t="s">
        <v>263</v>
      </c>
      <c r="R10" s="57">
        <v>0.1870513</v>
      </c>
      <c r="S10" s="57" t="s">
        <v>263</v>
      </c>
      <c r="T10" s="57">
        <v>0.44043399999999999</v>
      </c>
      <c r="U10" s="52" t="s">
        <v>263</v>
      </c>
      <c r="V10" s="52">
        <v>0.92335489999999998</v>
      </c>
      <c r="W10" s="52" t="s">
        <v>263</v>
      </c>
      <c r="X10" s="52">
        <v>0.45138529999999999</v>
      </c>
      <c r="Y10" s="57" t="s">
        <v>263</v>
      </c>
      <c r="Z10" s="57">
        <v>0.2726035</v>
      </c>
      <c r="AA10" s="57" t="s">
        <v>263</v>
      </c>
      <c r="AB10" s="57">
        <v>0.26959169999999999</v>
      </c>
      <c r="AC10" s="52" t="s">
        <v>263</v>
      </c>
      <c r="AD10" s="52">
        <v>0.29509170000000001</v>
      </c>
      <c r="AE10" s="52" t="s">
        <v>263</v>
      </c>
      <c r="AF10" s="52">
        <v>0.59154640000000003</v>
      </c>
      <c r="AG10" s="57" t="s">
        <v>263</v>
      </c>
      <c r="AH10" s="54">
        <v>0.29500270000000001</v>
      </c>
      <c r="AI10" s="5"/>
      <c r="AJ10" s="5"/>
      <c r="AK10" s="5"/>
      <c r="AL10" s="5"/>
      <c r="AM10" s="5"/>
      <c r="AN10" s="5"/>
    </row>
    <row r="11" spans="1:40">
      <c r="A11" s="104"/>
      <c r="B11" s="106"/>
      <c r="C11" s="53" t="s">
        <v>264</v>
      </c>
      <c r="D11" s="54">
        <v>0.27676279999999998</v>
      </c>
      <c r="E11" s="52" t="s">
        <v>264</v>
      </c>
      <c r="F11" s="63">
        <v>0.60215850000000004</v>
      </c>
      <c r="G11" s="52" t="s">
        <v>264</v>
      </c>
      <c r="H11" s="56">
        <v>0.39693129999999999</v>
      </c>
      <c r="I11" s="57" t="s">
        <v>264</v>
      </c>
      <c r="J11" s="57">
        <v>0.38319690000000001</v>
      </c>
      <c r="K11" s="57" t="s">
        <v>264</v>
      </c>
      <c r="L11" s="57">
        <v>0.286273</v>
      </c>
      <c r="M11" s="52" t="s">
        <v>264</v>
      </c>
      <c r="N11" s="52">
        <v>0.56693740000000004</v>
      </c>
      <c r="O11" s="52" t="s">
        <v>264</v>
      </c>
      <c r="P11" s="52">
        <v>0.69645420000000002</v>
      </c>
      <c r="Q11" s="57" t="s">
        <v>264</v>
      </c>
      <c r="R11" s="57">
        <v>0.1870513</v>
      </c>
      <c r="S11" s="57" t="s">
        <v>264</v>
      </c>
      <c r="T11" s="57">
        <v>0.44043399999999999</v>
      </c>
      <c r="U11" s="52" t="s">
        <v>264</v>
      </c>
      <c r="V11" s="52">
        <v>0.92335489999999998</v>
      </c>
      <c r="W11" s="52" t="s">
        <v>264</v>
      </c>
      <c r="X11" s="52">
        <v>0.45138479999999997</v>
      </c>
      <c r="Y11" s="57" t="s">
        <v>264</v>
      </c>
      <c r="Z11" s="57">
        <v>0.2726035</v>
      </c>
      <c r="AA11" s="57" t="s">
        <v>264</v>
      </c>
      <c r="AB11" s="57">
        <v>0.26959169999999999</v>
      </c>
      <c r="AC11" s="52" t="s">
        <v>264</v>
      </c>
      <c r="AD11" s="52">
        <v>0.33304679999999998</v>
      </c>
      <c r="AE11" s="52" t="s">
        <v>264</v>
      </c>
      <c r="AF11" s="52">
        <v>0.61567470000000002</v>
      </c>
      <c r="AG11" s="57" t="s">
        <v>264</v>
      </c>
      <c r="AH11" s="54">
        <v>0.33226309999999998</v>
      </c>
      <c r="AI11" s="5"/>
      <c r="AJ11" s="5"/>
      <c r="AK11" s="5"/>
      <c r="AL11" s="5"/>
      <c r="AM11" s="5"/>
      <c r="AN11" s="5"/>
    </row>
    <row r="12" spans="1:40">
      <c r="A12" s="104"/>
      <c r="B12" s="106"/>
      <c r="C12" s="53" t="s">
        <v>265</v>
      </c>
      <c r="D12" s="54">
        <v>0.3654848</v>
      </c>
      <c r="E12" s="52" t="s">
        <v>265</v>
      </c>
      <c r="F12" s="63">
        <v>0.60215799999999997</v>
      </c>
      <c r="G12" s="52" t="s">
        <v>265</v>
      </c>
      <c r="H12" s="56">
        <v>0.39693139999999999</v>
      </c>
      <c r="I12" s="57" t="s">
        <v>265</v>
      </c>
      <c r="J12" s="57">
        <v>0.3831966</v>
      </c>
      <c r="K12" s="57" t="s">
        <v>265</v>
      </c>
      <c r="L12" s="57">
        <v>0.2442986</v>
      </c>
      <c r="M12" s="52" t="s">
        <v>265</v>
      </c>
      <c r="N12" s="52">
        <v>0.59721880000000005</v>
      </c>
      <c r="O12" s="52" t="s">
        <v>265</v>
      </c>
      <c r="P12" s="52">
        <v>0.69645299999999999</v>
      </c>
      <c r="Q12" s="57" t="s">
        <v>265</v>
      </c>
      <c r="R12" s="57">
        <v>0.1870513</v>
      </c>
      <c r="S12" s="57" t="s">
        <v>265</v>
      </c>
      <c r="T12" s="57">
        <v>0.44043399999999999</v>
      </c>
      <c r="U12" s="52" t="s">
        <v>265</v>
      </c>
      <c r="V12" s="52">
        <v>0.92335460000000003</v>
      </c>
      <c r="W12" s="52" t="s">
        <v>265</v>
      </c>
      <c r="X12" s="52">
        <v>0.45138440000000002</v>
      </c>
      <c r="Y12" s="57" t="s">
        <v>265</v>
      </c>
      <c r="Z12" s="57">
        <v>0.27619139999999998</v>
      </c>
      <c r="AA12" s="57" t="s">
        <v>265</v>
      </c>
      <c r="AB12" s="57">
        <v>0.23219919999999999</v>
      </c>
      <c r="AC12" s="52" t="s">
        <v>265</v>
      </c>
      <c r="AD12" s="52">
        <v>0.40988079999999999</v>
      </c>
      <c r="AE12" s="52" t="s">
        <v>265</v>
      </c>
      <c r="AF12" s="52">
        <v>0.61567470000000002</v>
      </c>
      <c r="AG12" s="57" t="s">
        <v>265</v>
      </c>
      <c r="AH12" s="54">
        <v>0.41084399999999999</v>
      </c>
      <c r="AI12" s="5"/>
      <c r="AJ12" s="5"/>
      <c r="AK12" s="5"/>
      <c r="AL12" s="5"/>
      <c r="AM12" s="5"/>
      <c r="AN12" s="5"/>
    </row>
    <row r="13" spans="1:40">
      <c r="A13" s="49"/>
      <c r="B13" s="50"/>
      <c r="C13" s="50"/>
      <c r="D13" s="50"/>
      <c r="E13" s="50"/>
      <c r="F13" s="51"/>
      <c r="G13" s="50" t="s">
        <v>265</v>
      </c>
      <c r="H13" s="51">
        <v>0.39693129999999999</v>
      </c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1"/>
      <c r="AI13" s="5"/>
      <c r="AJ13" s="5"/>
      <c r="AK13" s="5"/>
      <c r="AL13" s="5"/>
      <c r="AM13" s="5"/>
      <c r="AN13" s="5"/>
    </row>
    <row r="14" spans="1:40">
      <c r="A14" s="104" t="s">
        <v>188</v>
      </c>
      <c r="B14" s="106"/>
      <c r="C14" s="55" t="s">
        <v>253</v>
      </c>
      <c r="D14" s="56" t="s">
        <v>254</v>
      </c>
      <c r="E14" s="57" t="s">
        <v>253</v>
      </c>
      <c r="F14" s="54" t="s">
        <v>254</v>
      </c>
      <c r="G14" s="57" t="s">
        <v>253</v>
      </c>
      <c r="H14" s="54" t="s">
        <v>254</v>
      </c>
      <c r="I14" s="42" t="s">
        <v>253</v>
      </c>
      <c r="J14" s="42" t="s">
        <v>254</v>
      </c>
      <c r="K14" s="42" t="s">
        <v>253</v>
      </c>
      <c r="L14" s="42" t="s">
        <v>254</v>
      </c>
      <c r="M14" s="45" t="s">
        <v>253</v>
      </c>
      <c r="N14" s="45" t="s">
        <v>254</v>
      </c>
      <c r="O14" s="45" t="s">
        <v>253</v>
      </c>
      <c r="P14" s="45" t="s">
        <v>254</v>
      </c>
      <c r="Q14" s="42" t="s">
        <v>253</v>
      </c>
      <c r="R14" s="42" t="s">
        <v>254</v>
      </c>
      <c r="S14" s="42" t="s">
        <v>253</v>
      </c>
      <c r="T14" s="42" t="s">
        <v>254</v>
      </c>
      <c r="U14" s="45" t="s">
        <v>253</v>
      </c>
      <c r="V14" s="45" t="s">
        <v>254</v>
      </c>
      <c r="W14" s="45" t="s">
        <v>253</v>
      </c>
      <c r="X14" s="45" t="s">
        <v>254</v>
      </c>
      <c r="Y14" s="42" t="s">
        <v>253</v>
      </c>
      <c r="Z14" s="42" t="s">
        <v>254</v>
      </c>
      <c r="AA14" s="42" t="s">
        <v>253</v>
      </c>
      <c r="AB14" s="42" t="s">
        <v>254</v>
      </c>
      <c r="AC14" s="45" t="s">
        <v>253</v>
      </c>
      <c r="AD14" s="45" t="s">
        <v>254</v>
      </c>
      <c r="AE14" s="45" t="s">
        <v>253</v>
      </c>
      <c r="AF14" s="45" t="s">
        <v>254</v>
      </c>
      <c r="AG14" s="42" t="s">
        <v>253</v>
      </c>
      <c r="AH14" s="42" t="s">
        <v>254</v>
      </c>
      <c r="AI14" s="5"/>
      <c r="AJ14" s="5"/>
      <c r="AK14" s="5"/>
      <c r="AL14" s="5"/>
      <c r="AM14" s="5"/>
      <c r="AN14" s="5"/>
    </row>
    <row r="15" spans="1:40">
      <c r="A15" s="104"/>
      <c r="B15" s="106"/>
      <c r="C15" s="55" t="s">
        <v>256</v>
      </c>
      <c r="D15" s="56">
        <v>0.42438769999999998</v>
      </c>
      <c r="E15" s="57" t="s">
        <v>256</v>
      </c>
      <c r="F15" s="54">
        <v>0.26460050000000002</v>
      </c>
      <c r="G15" s="57" t="s">
        <v>256</v>
      </c>
      <c r="H15" s="54">
        <v>0.2867924</v>
      </c>
      <c r="I15" s="42" t="s">
        <v>256</v>
      </c>
      <c r="J15" s="42">
        <v>0.41568650000000001</v>
      </c>
      <c r="K15" s="42" t="s">
        <v>256</v>
      </c>
      <c r="L15" s="42">
        <v>0.3572651</v>
      </c>
      <c r="M15" s="45" t="s">
        <v>256</v>
      </c>
      <c r="N15" s="45">
        <v>0.28048020000000001</v>
      </c>
      <c r="O15" s="45" t="s">
        <v>256</v>
      </c>
      <c r="P15" s="45">
        <v>0.12518899999999999</v>
      </c>
      <c r="Q15" s="42" t="s">
        <v>256</v>
      </c>
      <c r="R15" s="42">
        <v>0.54360169999999997</v>
      </c>
      <c r="S15" s="42" t="s">
        <v>256</v>
      </c>
      <c r="T15" s="42">
        <v>0.4273749</v>
      </c>
      <c r="U15" s="45" t="s">
        <v>256</v>
      </c>
      <c r="V15" s="45">
        <v>0.22754869999999999</v>
      </c>
      <c r="W15" s="45" t="s">
        <v>256</v>
      </c>
      <c r="X15" s="45">
        <v>0.2896377</v>
      </c>
      <c r="Y15" s="42" t="s">
        <v>256</v>
      </c>
      <c r="Z15" s="42">
        <v>0.61237909999999995</v>
      </c>
      <c r="AA15" s="42" t="s">
        <v>256</v>
      </c>
      <c r="AB15" s="42">
        <v>0.60536639999999997</v>
      </c>
      <c r="AC15" s="45" t="s">
        <v>256</v>
      </c>
      <c r="AD15" s="45">
        <v>0.65729219999999999</v>
      </c>
      <c r="AE15" s="45" t="s">
        <v>256</v>
      </c>
      <c r="AF15" s="45">
        <v>0.2357302</v>
      </c>
      <c r="AG15" s="42" t="s">
        <v>256</v>
      </c>
      <c r="AH15" s="42">
        <v>0.3936926</v>
      </c>
      <c r="AI15" s="5"/>
      <c r="AJ15" s="5"/>
      <c r="AK15" s="5"/>
      <c r="AL15" s="5"/>
      <c r="AM15" s="5"/>
      <c r="AN15" s="5"/>
    </row>
    <row r="16" spans="1:40">
      <c r="A16" s="104"/>
      <c r="B16" s="106"/>
      <c r="C16" s="55" t="s">
        <v>257</v>
      </c>
      <c r="D16" s="56">
        <v>0.42438769999999998</v>
      </c>
      <c r="E16" s="57" t="s">
        <v>257</v>
      </c>
      <c r="F16" s="54">
        <v>0.26456869999999999</v>
      </c>
      <c r="G16" s="57" t="s">
        <v>257</v>
      </c>
      <c r="H16" s="54">
        <v>0.28677639999999999</v>
      </c>
      <c r="I16" s="42" t="s">
        <v>257</v>
      </c>
      <c r="J16" s="42">
        <v>0.41568690000000003</v>
      </c>
      <c r="K16" s="42" t="s">
        <v>257</v>
      </c>
      <c r="L16" s="42">
        <v>0.3572652</v>
      </c>
      <c r="M16" s="45" t="s">
        <v>257</v>
      </c>
      <c r="N16" s="45">
        <v>0.2804798</v>
      </c>
      <c r="O16" s="45" t="s">
        <v>257</v>
      </c>
      <c r="P16" s="45">
        <v>0.12518899999999999</v>
      </c>
      <c r="Q16" s="42" t="s">
        <v>257</v>
      </c>
      <c r="R16" s="42">
        <v>0.60806274400000004</v>
      </c>
      <c r="S16" s="42" t="s">
        <v>257</v>
      </c>
      <c r="T16" s="42">
        <v>0.4273749</v>
      </c>
      <c r="U16" s="45" t="s">
        <v>257</v>
      </c>
      <c r="V16" s="45">
        <v>0.2275239</v>
      </c>
      <c r="W16" s="45" t="s">
        <v>257</v>
      </c>
      <c r="X16" s="45">
        <v>0.28963169999999999</v>
      </c>
      <c r="Y16" s="42" t="s">
        <v>257</v>
      </c>
      <c r="Z16" s="42">
        <v>0.6123712</v>
      </c>
      <c r="AA16" s="42" t="s">
        <v>257</v>
      </c>
      <c r="AB16" s="42">
        <v>0.60536990000000002</v>
      </c>
      <c r="AC16" s="45" t="s">
        <v>257</v>
      </c>
      <c r="AD16" s="45">
        <v>0.58705499999999999</v>
      </c>
      <c r="AE16" s="45" t="s">
        <v>257</v>
      </c>
      <c r="AF16" s="45">
        <v>0.2357302</v>
      </c>
      <c r="AG16" s="42" t="s">
        <v>257</v>
      </c>
      <c r="AH16" s="42">
        <v>0.55813170000000001</v>
      </c>
      <c r="AI16" s="5"/>
      <c r="AJ16" s="5"/>
      <c r="AK16" s="5"/>
      <c r="AL16" s="5"/>
      <c r="AM16" s="5"/>
      <c r="AN16" s="5"/>
    </row>
    <row r="17" spans="1:35">
      <c r="A17" s="104"/>
      <c r="B17" s="106"/>
      <c r="C17" s="55" t="s">
        <v>258</v>
      </c>
      <c r="D17" s="56">
        <v>0.50575720000000002</v>
      </c>
      <c r="E17" s="57" t="s">
        <v>258</v>
      </c>
      <c r="F17" s="54">
        <v>0.26456869999999999</v>
      </c>
      <c r="G17" s="57" t="s">
        <v>258</v>
      </c>
      <c r="H17" s="54">
        <v>0.28677649999999999</v>
      </c>
      <c r="I17" s="42" t="s">
        <v>258</v>
      </c>
      <c r="J17" s="42">
        <v>0.41568739999999998</v>
      </c>
      <c r="K17" s="42" t="s">
        <v>258</v>
      </c>
      <c r="L17" s="42">
        <v>0.3572652</v>
      </c>
      <c r="M17" s="45" t="s">
        <v>258</v>
      </c>
      <c r="N17" s="45">
        <v>0.21561420000000001</v>
      </c>
      <c r="O17" s="45" t="s">
        <v>258</v>
      </c>
      <c r="P17" s="45">
        <v>0.12518899999999999</v>
      </c>
      <c r="Q17" s="42" t="s">
        <v>258</v>
      </c>
      <c r="R17" s="42">
        <v>0.53485229999999995</v>
      </c>
      <c r="S17" s="42" t="s">
        <v>258</v>
      </c>
      <c r="T17" s="42">
        <v>0.4273748</v>
      </c>
      <c r="U17" s="45" t="s">
        <v>258</v>
      </c>
      <c r="V17" s="45">
        <v>0.2275238</v>
      </c>
      <c r="W17" s="45" t="s">
        <v>258</v>
      </c>
      <c r="X17" s="45">
        <v>0.28963169999999999</v>
      </c>
      <c r="Y17" s="42" t="s">
        <v>258</v>
      </c>
      <c r="Z17" s="42">
        <v>0.6123712</v>
      </c>
      <c r="AA17" s="42" t="s">
        <v>258</v>
      </c>
      <c r="AB17" s="42">
        <v>0.60536990000000002</v>
      </c>
      <c r="AC17" s="45" t="s">
        <v>258</v>
      </c>
      <c r="AD17" s="45">
        <v>0.58705499999999999</v>
      </c>
      <c r="AE17" s="45" t="s">
        <v>258</v>
      </c>
      <c r="AF17" s="45">
        <v>0.27216360000000001</v>
      </c>
      <c r="AG17" s="42" t="s">
        <v>258</v>
      </c>
      <c r="AH17" s="42">
        <v>0.48838999999999999</v>
      </c>
      <c r="AI17" s="5"/>
    </row>
    <row r="18" spans="1:35">
      <c r="A18" s="104"/>
      <c r="B18" s="106"/>
      <c r="C18" s="55" t="s">
        <v>259</v>
      </c>
      <c r="D18" s="56">
        <v>0.50575720000000002</v>
      </c>
      <c r="E18" s="57" t="s">
        <v>259</v>
      </c>
      <c r="F18" s="54">
        <v>0.26456869999999999</v>
      </c>
      <c r="G18" s="57" t="s">
        <v>259</v>
      </c>
      <c r="H18" s="54">
        <v>0.28678169999999997</v>
      </c>
      <c r="I18" s="42" t="s">
        <v>259</v>
      </c>
      <c r="J18" s="42">
        <v>0.4156878</v>
      </c>
      <c r="K18" s="42" t="s">
        <v>259</v>
      </c>
      <c r="L18" s="42">
        <v>0.3572652</v>
      </c>
      <c r="M18" s="45" t="s">
        <v>259</v>
      </c>
      <c r="N18" s="45">
        <v>0.24799869999999999</v>
      </c>
      <c r="O18" s="45" t="s">
        <v>259</v>
      </c>
      <c r="P18" s="45">
        <v>0.15924240000000001</v>
      </c>
      <c r="Q18" s="42" t="s">
        <v>259</v>
      </c>
      <c r="R18" s="42">
        <v>0.53485349999999998</v>
      </c>
      <c r="S18" s="42" t="s">
        <v>259</v>
      </c>
      <c r="T18" s="42">
        <v>0.4273749</v>
      </c>
      <c r="U18" s="45" t="s">
        <v>259</v>
      </c>
      <c r="V18" s="45">
        <v>0.25957540000000001</v>
      </c>
      <c r="W18" s="45" t="s">
        <v>259</v>
      </c>
      <c r="X18" s="45">
        <v>0.25284610000000002</v>
      </c>
      <c r="Y18" s="42" t="s">
        <v>259</v>
      </c>
      <c r="Z18" s="42">
        <v>0.6123712</v>
      </c>
      <c r="AA18" s="42" t="s">
        <v>259</v>
      </c>
      <c r="AB18" s="42">
        <v>0.60536990000000002</v>
      </c>
      <c r="AC18" s="45" t="s">
        <v>259</v>
      </c>
      <c r="AD18" s="45">
        <v>0.58705499999999999</v>
      </c>
      <c r="AE18" s="45" t="s">
        <v>259</v>
      </c>
      <c r="AF18" s="45">
        <v>0.23220209999999999</v>
      </c>
      <c r="AG18" s="42" t="s">
        <v>259</v>
      </c>
      <c r="AH18" s="42">
        <v>0.52100009999999997</v>
      </c>
      <c r="AI18" s="5"/>
    </row>
    <row r="19" spans="1:35">
      <c r="A19" s="104"/>
      <c r="B19" s="106"/>
      <c r="C19" s="55" t="s">
        <v>260</v>
      </c>
      <c r="D19" s="56">
        <v>0.50575720000000002</v>
      </c>
      <c r="E19" s="57" t="s">
        <v>260</v>
      </c>
      <c r="F19" s="54">
        <v>0.26456869999999999</v>
      </c>
      <c r="G19" s="57" t="s">
        <v>260</v>
      </c>
      <c r="H19" s="54">
        <v>0.2499931</v>
      </c>
      <c r="I19" s="42" t="s">
        <v>260</v>
      </c>
      <c r="J19" s="42">
        <v>0.41568830000000001</v>
      </c>
      <c r="K19" s="42" t="s">
        <v>260</v>
      </c>
      <c r="L19" s="42">
        <v>0.3572652</v>
      </c>
      <c r="M19" s="45" t="s">
        <v>260</v>
      </c>
      <c r="N19" s="45">
        <v>0.24799869999999999</v>
      </c>
      <c r="O19" s="45" t="s">
        <v>260</v>
      </c>
      <c r="P19" s="45">
        <v>0.19329569999999999</v>
      </c>
      <c r="Q19" s="42" t="s">
        <v>260</v>
      </c>
      <c r="R19" s="42">
        <v>0.53485464999999999</v>
      </c>
      <c r="S19" s="42" t="s">
        <v>260</v>
      </c>
      <c r="T19" s="42">
        <v>0.4273748</v>
      </c>
      <c r="U19" s="45" t="s">
        <v>260</v>
      </c>
      <c r="V19" s="45">
        <v>0.25704769999999999</v>
      </c>
      <c r="W19" s="45" t="s">
        <v>260</v>
      </c>
      <c r="X19" s="45">
        <v>0.28914699999999999</v>
      </c>
      <c r="Y19" s="42" t="s">
        <v>260</v>
      </c>
      <c r="Z19" s="42">
        <v>0.55145840000000002</v>
      </c>
      <c r="AA19" s="42" t="s">
        <v>260</v>
      </c>
      <c r="AB19" s="42">
        <v>0.54122820000000005</v>
      </c>
      <c r="AC19" s="45" t="s">
        <v>260</v>
      </c>
      <c r="AD19" s="45">
        <v>0.5870552</v>
      </c>
      <c r="AE19" s="45" t="s">
        <v>260</v>
      </c>
      <c r="AF19" s="45">
        <v>0.23220199999999999</v>
      </c>
      <c r="AG19" s="42" t="s">
        <v>260</v>
      </c>
      <c r="AH19" s="42">
        <v>0.52099810000000002</v>
      </c>
      <c r="AI19" s="5"/>
    </row>
    <row r="20" spans="1:35">
      <c r="A20" s="104"/>
      <c r="B20" s="106"/>
      <c r="C20" s="55" t="s">
        <v>261</v>
      </c>
      <c r="D20" s="56">
        <v>0.48548069999999999</v>
      </c>
      <c r="E20" s="57" t="s">
        <v>261</v>
      </c>
      <c r="F20" s="54">
        <v>0.26480979999999998</v>
      </c>
      <c r="G20" s="57" t="s">
        <v>261</v>
      </c>
      <c r="H20" s="54">
        <v>0.28703669999999998</v>
      </c>
      <c r="I20" s="42" t="s">
        <v>261</v>
      </c>
      <c r="J20" s="42">
        <v>0.55121880000000001</v>
      </c>
      <c r="K20" s="42" t="s">
        <v>261</v>
      </c>
      <c r="L20" s="42">
        <v>0.50475009999999998</v>
      </c>
      <c r="M20" s="45" t="s">
        <v>261</v>
      </c>
      <c r="N20" s="45">
        <v>0.32559680000000002</v>
      </c>
      <c r="O20" s="45" t="s">
        <v>261</v>
      </c>
      <c r="P20" s="45">
        <v>0.12518899999999999</v>
      </c>
      <c r="Q20" s="42" t="s">
        <v>261</v>
      </c>
      <c r="R20" s="42">
        <v>0.57408700000000001</v>
      </c>
      <c r="S20" s="42" t="s">
        <v>261</v>
      </c>
      <c r="T20" s="42">
        <v>0.50840090000000004</v>
      </c>
      <c r="U20" s="45" t="s">
        <v>261</v>
      </c>
      <c r="V20" s="45">
        <v>0.22781419999999999</v>
      </c>
      <c r="W20" s="45" t="s">
        <v>261</v>
      </c>
      <c r="X20" s="45">
        <v>0.2897055</v>
      </c>
      <c r="Y20" s="42" t="s">
        <v>261</v>
      </c>
      <c r="Z20" s="42">
        <v>0.55207720000000005</v>
      </c>
      <c r="AA20" s="42" t="s">
        <v>261</v>
      </c>
      <c r="AB20" s="42">
        <v>0.7647813</v>
      </c>
      <c r="AC20" s="45" t="s">
        <v>261</v>
      </c>
      <c r="AD20" s="45">
        <v>0.69777849999999997</v>
      </c>
      <c r="AE20" s="45" t="s">
        <v>261</v>
      </c>
      <c r="AF20" s="45">
        <v>0.27318959999999998</v>
      </c>
      <c r="AG20" s="42" t="s">
        <v>261</v>
      </c>
      <c r="AH20" s="42">
        <v>0.49620750000000002</v>
      </c>
      <c r="AI20" s="5"/>
    </row>
    <row r="21" spans="1:35">
      <c r="A21" s="104"/>
      <c r="B21" s="106"/>
      <c r="C21" s="55" t="s">
        <v>262</v>
      </c>
      <c r="D21" s="56">
        <v>0.48548069999999999</v>
      </c>
      <c r="E21" s="57" t="s">
        <v>262</v>
      </c>
      <c r="F21" s="54">
        <v>0.26480979999999998</v>
      </c>
      <c r="G21" s="57" t="s">
        <v>262</v>
      </c>
      <c r="H21" s="54">
        <v>0.28703669999999998</v>
      </c>
      <c r="I21" s="42" t="s">
        <v>262</v>
      </c>
      <c r="J21" s="42">
        <v>0.47473169999999998</v>
      </c>
      <c r="K21" s="42" t="s">
        <v>262</v>
      </c>
      <c r="L21" s="42">
        <v>0.50475009999999998</v>
      </c>
      <c r="M21" s="45" t="s">
        <v>262</v>
      </c>
      <c r="N21" s="45">
        <v>0.2360738</v>
      </c>
      <c r="O21" s="45" t="s">
        <v>262</v>
      </c>
      <c r="P21" s="45">
        <v>0.12518899999999999</v>
      </c>
      <c r="Q21" s="42" t="s">
        <v>262</v>
      </c>
      <c r="R21" s="42">
        <v>0.638593733</v>
      </c>
      <c r="S21" s="42" t="s">
        <v>262</v>
      </c>
      <c r="T21" s="42">
        <v>0.50840099999999999</v>
      </c>
      <c r="U21" s="45" t="s">
        <v>262</v>
      </c>
      <c r="V21" s="45">
        <v>0.22781419999999999</v>
      </c>
      <c r="W21" s="45" t="s">
        <v>262</v>
      </c>
      <c r="X21" s="45">
        <v>0.2896995</v>
      </c>
      <c r="Y21" s="42" t="s">
        <v>262</v>
      </c>
      <c r="Z21" s="42">
        <v>0.61260720000000002</v>
      </c>
      <c r="AA21" s="42" t="s">
        <v>262</v>
      </c>
      <c r="AB21" s="42">
        <v>0.76439120000000005</v>
      </c>
      <c r="AC21" s="45" t="s">
        <v>262</v>
      </c>
      <c r="AD21" s="45">
        <v>0.62750629999999996</v>
      </c>
      <c r="AE21" s="45" t="s">
        <v>262</v>
      </c>
      <c r="AF21" s="45">
        <v>0.27318969999999998</v>
      </c>
      <c r="AG21" s="42" t="s">
        <v>262</v>
      </c>
      <c r="AH21" s="42">
        <v>0.59202049999999995</v>
      </c>
      <c r="AI21" s="5"/>
    </row>
    <row r="22" spans="1:35">
      <c r="A22" s="104"/>
      <c r="B22" s="106"/>
      <c r="C22" s="55" t="s">
        <v>263</v>
      </c>
      <c r="D22" s="56">
        <v>0.56693389999999999</v>
      </c>
      <c r="E22" s="57" t="s">
        <v>263</v>
      </c>
      <c r="F22" s="54">
        <v>0.26480979999999998</v>
      </c>
      <c r="G22" s="57" t="s">
        <v>263</v>
      </c>
      <c r="H22" s="54">
        <v>0.28703669999999998</v>
      </c>
      <c r="I22" s="42" t="s">
        <v>263</v>
      </c>
      <c r="J22" s="42">
        <v>0.47473219999999999</v>
      </c>
      <c r="K22" s="42" t="s">
        <v>263</v>
      </c>
      <c r="L22" s="42">
        <v>0.50475009999999998</v>
      </c>
      <c r="M22" s="45" t="s">
        <v>263</v>
      </c>
      <c r="N22" s="45">
        <v>0.26847310000000002</v>
      </c>
      <c r="O22" s="45" t="s">
        <v>263</v>
      </c>
      <c r="P22" s="45">
        <v>0.12518899999999999</v>
      </c>
      <c r="Q22" s="42" t="s">
        <v>263</v>
      </c>
      <c r="R22" s="42">
        <v>0.56531849999999995</v>
      </c>
      <c r="S22" s="42" t="s">
        <v>263</v>
      </c>
      <c r="T22" s="42">
        <v>0.50840099999999999</v>
      </c>
      <c r="U22" s="45" t="s">
        <v>263</v>
      </c>
      <c r="V22" s="45">
        <v>0.22781419999999999</v>
      </c>
      <c r="W22" s="45" t="s">
        <v>263</v>
      </c>
      <c r="X22" s="45">
        <v>0.2896995</v>
      </c>
      <c r="Y22" s="42" t="s">
        <v>263</v>
      </c>
      <c r="Z22" s="42">
        <v>0.61260720000000002</v>
      </c>
      <c r="AA22" s="42" t="s">
        <v>263</v>
      </c>
      <c r="AB22" s="42">
        <v>0.64314320000000003</v>
      </c>
      <c r="AC22" s="45" t="s">
        <v>263</v>
      </c>
      <c r="AD22" s="45">
        <v>0.62750660000000003</v>
      </c>
      <c r="AE22" s="45" t="s">
        <v>263</v>
      </c>
      <c r="AF22" s="45">
        <v>0.27318969999999998</v>
      </c>
      <c r="AG22" s="42" t="s">
        <v>263</v>
      </c>
      <c r="AH22" s="42">
        <v>0.5920185</v>
      </c>
      <c r="AI22" s="5"/>
    </row>
    <row r="23" spans="1:35">
      <c r="A23" s="104"/>
      <c r="B23" s="106"/>
      <c r="C23" s="55" t="s">
        <v>264</v>
      </c>
      <c r="D23" s="56">
        <v>0.56693389999999999</v>
      </c>
      <c r="E23" s="57" t="s">
        <v>264</v>
      </c>
      <c r="F23" s="54">
        <v>0.26480979999999998</v>
      </c>
      <c r="G23" s="57" t="s">
        <v>264</v>
      </c>
      <c r="H23" s="54">
        <v>0.29451359999999999</v>
      </c>
      <c r="I23" s="42" t="s">
        <v>264</v>
      </c>
      <c r="J23" s="42">
        <v>0.4747325</v>
      </c>
      <c r="K23" s="42" t="s">
        <v>264</v>
      </c>
      <c r="L23" s="42">
        <v>0.50475009999999998</v>
      </c>
      <c r="M23" s="45" t="s">
        <v>264</v>
      </c>
      <c r="N23" s="45">
        <v>0.26847310000000002</v>
      </c>
      <c r="O23" s="45" t="s">
        <v>264</v>
      </c>
      <c r="P23" s="45">
        <v>0.15924240000000001</v>
      </c>
      <c r="Q23" s="42" t="s">
        <v>264</v>
      </c>
      <c r="R23" s="42">
        <v>0.56531953800000001</v>
      </c>
      <c r="S23" s="42" t="s">
        <v>264</v>
      </c>
      <c r="T23" s="42">
        <v>0.50840099999999999</v>
      </c>
      <c r="U23" s="45" t="s">
        <v>264</v>
      </c>
      <c r="V23" s="45">
        <v>0.22781419999999999</v>
      </c>
      <c r="W23" s="45" t="s">
        <v>264</v>
      </c>
      <c r="X23" s="45">
        <v>0.28921540000000001</v>
      </c>
      <c r="Y23" s="42" t="s">
        <v>264</v>
      </c>
      <c r="Z23" s="42">
        <v>0.61260720000000002</v>
      </c>
      <c r="AA23" s="42" t="s">
        <v>264</v>
      </c>
      <c r="AB23" s="42">
        <v>0.64314320000000003</v>
      </c>
      <c r="AC23" s="45" t="s">
        <v>264</v>
      </c>
      <c r="AD23" s="45">
        <v>0.62750640000000002</v>
      </c>
      <c r="AE23" s="45" t="s">
        <v>264</v>
      </c>
      <c r="AF23" s="45">
        <v>0.27503139999999998</v>
      </c>
      <c r="AG23" s="42" t="s">
        <v>264</v>
      </c>
      <c r="AH23" s="42">
        <v>0.5222445</v>
      </c>
      <c r="AI23" s="5"/>
    </row>
    <row r="24" spans="1:35">
      <c r="A24" s="104"/>
      <c r="B24" s="106"/>
      <c r="C24" s="55" t="s">
        <v>265</v>
      </c>
      <c r="D24" s="56">
        <v>0.56693389999999999</v>
      </c>
      <c r="E24" s="57" t="s">
        <v>265</v>
      </c>
      <c r="F24" s="54">
        <v>0.26480979999999998</v>
      </c>
      <c r="G24" s="57" t="s">
        <v>265</v>
      </c>
      <c r="H24" s="54">
        <v>0.34056259999999999</v>
      </c>
      <c r="I24" s="42" t="s">
        <v>265</v>
      </c>
      <c r="J24" s="42">
        <v>0.47473300000000002</v>
      </c>
      <c r="K24" s="42" t="s">
        <v>265</v>
      </c>
      <c r="L24" s="42">
        <v>0.50475020000000004</v>
      </c>
      <c r="M24" s="45" t="s">
        <v>265</v>
      </c>
      <c r="N24" s="45">
        <v>0.24863959999999999</v>
      </c>
      <c r="O24" s="45" t="s">
        <v>265</v>
      </c>
      <c r="P24" s="45">
        <v>0.15924240000000001</v>
      </c>
      <c r="Q24" s="42" t="s">
        <v>265</v>
      </c>
      <c r="R24" s="42">
        <v>0.59660709999999995</v>
      </c>
      <c r="S24" s="42" t="s">
        <v>265</v>
      </c>
      <c r="T24" s="42">
        <v>0.50840090000000004</v>
      </c>
      <c r="U24" s="45" t="s">
        <v>265</v>
      </c>
      <c r="V24" s="45">
        <v>0.18678610000000001</v>
      </c>
      <c r="W24" s="45" t="s">
        <v>265</v>
      </c>
      <c r="X24" s="45">
        <v>0.25270110000000001</v>
      </c>
      <c r="Y24" s="42" t="s">
        <v>265</v>
      </c>
      <c r="Z24" s="42">
        <v>0.61260720000000002</v>
      </c>
      <c r="AA24" s="42" t="s">
        <v>265</v>
      </c>
      <c r="AB24" s="42">
        <v>0.58460959999999995</v>
      </c>
      <c r="AC24" s="45" t="s">
        <v>265</v>
      </c>
      <c r="AD24" s="45">
        <v>0.63946389999999997</v>
      </c>
      <c r="AE24" s="45" t="s">
        <v>265</v>
      </c>
      <c r="AF24" s="45">
        <v>0.2750514</v>
      </c>
      <c r="AG24" s="42" t="s">
        <v>265</v>
      </c>
      <c r="AH24" s="42">
        <v>0.5222445</v>
      </c>
      <c r="AI24" s="5"/>
    </row>
    <row r="25" spans="1:35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"/>
    </row>
    <row r="26" spans="1:35">
      <c r="A26" s="104" t="s">
        <v>266</v>
      </c>
      <c r="B26" s="105"/>
      <c r="C26" s="67">
        <f>AVERAGE(D3:D12)</f>
        <v>0.28501146000000005</v>
      </c>
      <c r="D26" s="67">
        <f>C26/$AL$1</f>
        <v>0.95003820000000017</v>
      </c>
      <c r="E26" s="65">
        <f>AVERAGE(F3:F12)</f>
        <v>0.57725853000000005</v>
      </c>
      <c r="F26" s="68">
        <f>E26/$AL$2</f>
        <v>1.4431463250000001</v>
      </c>
      <c r="G26" s="65">
        <f>AVERAGE(H3:H12)</f>
        <v>0.39681191999999998</v>
      </c>
      <c r="H26" s="68">
        <f>G26/$AL$2</f>
        <v>0.99202979999999996</v>
      </c>
      <c r="I26" s="66">
        <f>AVERAGE(J3:J12)</f>
        <v>0.29188746000000004</v>
      </c>
      <c r="J26" s="67">
        <f>I26/$AL$1</f>
        <v>0.97295820000000022</v>
      </c>
      <c r="K26" s="66">
        <f>AVERAGE(L3:L12)</f>
        <v>0.25334201999999995</v>
      </c>
      <c r="L26" s="67">
        <f>K26/$AL$1</f>
        <v>0.84447339999999982</v>
      </c>
      <c r="M26" s="65">
        <f>AVERAGE(N3:N12)</f>
        <v>0.57180364000000006</v>
      </c>
      <c r="N26" s="68">
        <f>M26/$AL$2</f>
        <v>1.4295091</v>
      </c>
      <c r="O26" s="65">
        <f>AVERAGE(P3:P12)</f>
        <v>0.70462113999999998</v>
      </c>
      <c r="P26" s="68">
        <f>O26/$AL$2</f>
        <v>1.7615528499999999</v>
      </c>
      <c r="Q26" s="66">
        <f>AVERAGE(R3:R12)</f>
        <v>0.18704381</v>
      </c>
      <c r="R26" s="67">
        <f>Q26/$AL$1</f>
        <v>0.6234793666666667</v>
      </c>
      <c r="S26" s="66">
        <f>AVERAGE(T3:T12)</f>
        <v>0.34986115000000001</v>
      </c>
      <c r="T26" s="67">
        <f>S26/$AL$1</f>
        <v>1.1662038333333333</v>
      </c>
      <c r="U26" s="65">
        <f>AVERAGE(V3:V12)</f>
        <v>0.7476542599999999</v>
      </c>
      <c r="V26" s="68">
        <f>U26/$AL$2</f>
        <v>1.8691356499999996</v>
      </c>
      <c r="W26" s="65">
        <f>AVERAGE(X3:X12)</f>
        <v>0.44131325999999998</v>
      </c>
      <c r="X26" s="68">
        <f>W26/$AL$2</f>
        <v>1.10328315</v>
      </c>
      <c r="Y26" s="66">
        <f>AVERAGE(Z3:Z12)</f>
        <v>0.25776326999999999</v>
      </c>
      <c r="Z26" s="67">
        <f>Y26/$AL$1</f>
        <v>0.8592109</v>
      </c>
      <c r="AA26" s="66">
        <f>AVERAGE(AB3:AB12)</f>
        <v>0.25117511999999997</v>
      </c>
      <c r="AB26" s="67">
        <f>AA26/$AL$1</f>
        <v>0.83725039999999995</v>
      </c>
      <c r="AC26" s="65">
        <f>AVERAGE(AD3:AD12)</f>
        <v>0.31413437999999994</v>
      </c>
      <c r="AD26" s="68">
        <f>AC26/$AL$2</f>
        <v>0.78533594999999978</v>
      </c>
      <c r="AE26" s="65">
        <f>AVERAGE(AF3:AF12)</f>
        <v>0.58421090000000009</v>
      </c>
      <c r="AF26" s="68">
        <f>AE26/$AL$2</f>
        <v>1.4605272500000002</v>
      </c>
      <c r="AG26" s="65">
        <f>AVERAGE(AH3:AH12)</f>
        <v>0.31413959000000002</v>
      </c>
      <c r="AH26" s="67">
        <f>AG26/$AL$1</f>
        <v>1.0471319666666667</v>
      </c>
      <c r="AI26" s="5"/>
    </row>
    <row r="27" spans="1:35">
      <c r="A27" s="104"/>
      <c r="B27" s="105"/>
      <c r="C27" s="64" t="s">
        <v>197</v>
      </c>
      <c r="D27" s="64" t="s">
        <v>267</v>
      </c>
      <c r="E27" s="26" t="s">
        <v>197</v>
      </c>
      <c r="F27" s="26" t="s">
        <v>267</v>
      </c>
      <c r="G27" s="26" t="s">
        <v>197</v>
      </c>
      <c r="H27" s="26" t="s">
        <v>267</v>
      </c>
      <c r="I27" s="28" t="s">
        <v>197</v>
      </c>
      <c r="J27" s="28" t="s">
        <v>267</v>
      </c>
      <c r="K27" s="28" t="s">
        <v>197</v>
      </c>
      <c r="L27" s="28" t="s">
        <v>267</v>
      </c>
      <c r="M27" s="26" t="s">
        <v>197</v>
      </c>
      <c r="N27" s="26" t="s">
        <v>267</v>
      </c>
      <c r="O27" s="26" t="s">
        <v>197</v>
      </c>
      <c r="P27" s="26" t="s">
        <v>267</v>
      </c>
      <c r="Q27" s="28" t="s">
        <v>197</v>
      </c>
      <c r="R27" s="28" t="s">
        <v>267</v>
      </c>
      <c r="S27" s="28" t="s">
        <v>197</v>
      </c>
      <c r="T27" s="28" t="s">
        <v>267</v>
      </c>
      <c r="U27" s="26" t="s">
        <v>197</v>
      </c>
      <c r="V27" s="26" t="s">
        <v>267</v>
      </c>
      <c r="W27" s="26" t="s">
        <v>197</v>
      </c>
      <c r="X27" s="26" t="s">
        <v>267</v>
      </c>
      <c r="Y27" s="28" t="s">
        <v>197</v>
      </c>
      <c r="Z27" s="28" t="s">
        <v>267</v>
      </c>
      <c r="AA27" s="28" t="s">
        <v>197</v>
      </c>
      <c r="AB27" s="28" t="s">
        <v>267</v>
      </c>
      <c r="AC27" s="26" t="s">
        <v>197</v>
      </c>
      <c r="AD27" s="26" t="s">
        <v>267</v>
      </c>
      <c r="AE27" s="26" t="s">
        <v>197</v>
      </c>
      <c r="AF27" s="26" t="s">
        <v>267</v>
      </c>
      <c r="AG27" s="28" t="s">
        <v>197</v>
      </c>
      <c r="AH27" s="28" t="s">
        <v>267</v>
      </c>
      <c r="AI27" s="5"/>
    </row>
    <row r="28" spans="1:35">
      <c r="A28" s="104"/>
      <c r="B28" s="105"/>
      <c r="C28" s="62"/>
      <c r="D28" s="62"/>
      <c r="E28" s="52"/>
      <c r="F28" s="52"/>
      <c r="G28" s="52"/>
      <c r="H28" s="52"/>
      <c r="I28" s="57"/>
      <c r="J28" s="57"/>
      <c r="K28" s="57"/>
      <c r="L28" s="57"/>
      <c r="M28" s="52"/>
      <c r="N28" s="52"/>
      <c r="O28" s="52"/>
      <c r="P28" s="52"/>
      <c r="Q28" s="57"/>
      <c r="R28" s="57"/>
      <c r="S28" s="57"/>
      <c r="T28" s="57"/>
      <c r="U28" s="52"/>
      <c r="V28" s="52"/>
      <c r="W28" s="52"/>
      <c r="X28" s="52"/>
      <c r="Y28" s="57"/>
      <c r="Z28" s="57"/>
      <c r="AA28" s="57"/>
      <c r="AB28" s="57"/>
      <c r="AC28" s="52"/>
      <c r="AD28" s="52"/>
      <c r="AE28" s="52"/>
      <c r="AF28" s="52"/>
      <c r="AG28" s="57"/>
      <c r="AH28" s="57"/>
      <c r="AI28" s="5"/>
    </row>
    <row r="29" spans="1:35">
      <c r="A29" s="104"/>
      <c r="B29" s="105"/>
      <c r="C29" s="62"/>
      <c r="D29" s="62"/>
      <c r="E29" s="52"/>
      <c r="F29" s="52"/>
      <c r="G29" s="52"/>
      <c r="H29" s="52"/>
      <c r="I29" s="57"/>
      <c r="J29" s="57"/>
      <c r="K29" s="57"/>
      <c r="L29" s="57"/>
      <c r="M29" s="52"/>
      <c r="N29" s="52"/>
      <c r="O29" s="52"/>
      <c r="P29" s="52"/>
      <c r="Q29" s="57"/>
      <c r="R29" s="57"/>
      <c r="S29" s="57"/>
      <c r="T29" s="57"/>
      <c r="U29" s="52"/>
      <c r="V29" s="52"/>
      <c r="W29" s="52"/>
      <c r="X29" s="52"/>
      <c r="Y29" s="57"/>
      <c r="Z29" s="57"/>
      <c r="AA29" s="57"/>
      <c r="AB29" s="57"/>
      <c r="AC29" s="52"/>
      <c r="AD29" s="52"/>
      <c r="AE29" s="52"/>
      <c r="AF29" s="52"/>
      <c r="AG29" s="57"/>
      <c r="AH29" s="57"/>
      <c r="AI29" s="5"/>
    </row>
    <row r="30" spans="1:35">
      <c r="A30" s="104"/>
      <c r="B30" s="105"/>
      <c r="C30" s="62"/>
      <c r="D30" s="62"/>
      <c r="E30" s="52"/>
      <c r="F30" s="52"/>
      <c r="G30" s="52"/>
      <c r="H30" s="52"/>
      <c r="I30" s="57"/>
      <c r="J30" s="57"/>
      <c r="K30" s="57"/>
      <c r="L30" s="57"/>
      <c r="M30" s="52"/>
      <c r="N30" s="52"/>
      <c r="O30" s="52"/>
      <c r="P30" s="52"/>
      <c r="Q30" s="57"/>
      <c r="R30" s="57"/>
      <c r="S30" s="57"/>
      <c r="T30" s="57"/>
      <c r="U30" s="52"/>
      <c r="V30" s="52"/>
      <c r="W30" s="52"/>
      <c r="X30" s="52"/>
      <c r="Y30" s="57"/>
      <c r="Z30" s="57"/>
      <c r="AA30" s="57"/>
      <c r="AB30" s="57"/>
      <c r="AC30" s="52"/>
      <c r="AD30" s="52"/>
      <c r="AE30" s="52"/>
      <c r="AF30" s="52"/>
      <c r="AG30" s="57"/>
      <c r="AH30" s="57"/>
      <c r="AI30" s="5"/>
    </row>
    <row r="31" spans="1:35">
      <c r="A31" s="104"/>
      <c r="B31" s="105"/>
      <c r="C31" s="62"/>
      <c r="D31" s="62"/>
      <c r="E31" s="52"/>
      <c r="F31" s="52"/>
      <c r="G31" s="52"/>
      <c r="H31" s="52"/>
      <c r="I31" s="57"/>
      <c r="J31" s="57"/>
      <c r="K31" s="57"/>
      <c r="L31" s="57"/>
      <c r="M31" s="52"/>
      <c r="N31" s="52"/>
      <c r="O31" s="52"/>
      <c r="P31" s="52"/>
      <c r="Q31" s="57"/>
      <c r="R31" s="57"/>
      <c r="S31" s="57"/>
      <c r="T31" s="57"/>
      <c r="U31" s="52"/>
      <c r="V31" s="52"/>
      <c r="W31" s="52"/>
      <c r="X31" s="52"/>
      <c r="Y31" s="57"/>
      <c r="Z31" s="57"/>
      <c r="AA31" s="57"/>
      <c r="AB31" s="57"/>
      <c r="AC31" s="52"/>
      <c r="AD31" s="52"/>
      <c r="AE31" s="52"/>
      <c r="AF31" s="52"/>
      <c r="AG31" s="57"/>
      <c r="AH31" s="57"/>
      <c r="AI31" s="5"/>
    </row>
    <row r="32" spans="1:35">
      <c r="A32" s="104"/>
      <c r="B32" s="105"/>
      <c r="C32" s="62"/>
      <c r="D32" s="62"/>
      <c r="E32" s="52"/>
      <c r="F32" s="52"/>
      <c r="G32" s="52"/>
      <c r="H32" s="52"/>
      <c r="I32" s="57"/>
      <c r="J32" s="57"/>
      <c r="K32" s="57"/>
      <c r="L32" s="57"/>
      <c r="M32" s="52"/>
      <c r="N32" s="52"/>
      <c r="O32" s="52"/>
      <c r="P32" s="52"/>
      <c r="Q32" s="57"/>
      <c r="R32" s="57"/>
      <c r="S32" s="57"/>
      <c r="T32" s="57"/>
      <c r="U32" s="52"/>
      <c r="V32" s="52"/>
      <c r="W32" s="52"/>
      <c r="X32" s="52"/>
      <c r="Y32" s="57"/>
      <c r="Z32" s="57"/>
      <c r="AA32" s="57"/>
      <c r="AB32" s="57"/>
      <c r="AC32" s="52"/>
      <c r="AD32" s="52"/>
      <c r="AE32" s="52"/>
      <c r="AF32" s="52"/>
      <c r="AG32" s="57"/>
      <c r="AH32" s="57"/>
      <c r="AI32" s="5"/>
    </row>
    <row r="33" spans="1:35">
      <c r="A33" s="104"/>
      <c r="B33" s="105"/>
      <c r="C33" s="62"/>
      <c r="D33" s="62"/>
      <c r="E33" s="52"/>
      <c r="F33" s="52"/>
      <c r="G33" s="52"/>
      <c r="H33" s="52"/>
      <c r="I33" s="57"/>
      <c r="J33" s="57"/>
      <c r="K33" s="57"/>
      <c r="L33" s="57"/>
      <c r="M33" s="52"/>
      <c r="N33" s="52"/>
      <c r="O33" s="52"/>
      <c r="P33" s="52"/>
      <c r="Q33" s="57"/>
      <c r="R33" s="57"/>
      <c r="S33" s="57"/>
      <c r="T33" s="57"/>
      <c r="U33" s="52"/>
      <c r="V33" s="52"/>
      <c r="W33" s="52"/>
      <c r="X33" s="52"/>
      <c r="Y33" s="57"/>
      <c r="Z33" s="57"/>
      <c r="AA33" s="57"/>
      <c r="AB33" s="57"/>
      <c r="AC33" s="52"/>
      <c r="AD33" s="52"/>
      <c r="AE33" s="52"/>
      <c r="AF33" s="52"/>
      <c r="AG33" s="57"/>
      <c r="AH33" s="57"/>
      <c r="AI33" s="5"/>
    </row>
    <row r="34" spans="1:35">
      <c r="A34" s="104"/>
      <c r="B34" s="105"/>
      <c r="C34" s="62"/>
      <c r="D34" s="62"/>
      <c r="E34" s="52"/>
      <c r="F34" s="52"/>
      <c r="G34" s="52"/>
      <c r="H34" s="52"/>
      <c r="I34" s="57"/>
      <c r="J34" s="57"/>
      <c r="K34" s="57"/>
      <c r="L34" s="57"/>
      <c r="M34" s="52"/>
      <c r="N34" s="52"/>
      <c r="O34" s="52"/>
      <c r="P34" s="52"/>
      <c r="Q34" s="57"/>
      <c r="R34" s="57"/>
      <c r="S34" s="57"/>
      <c r="T34" s="57"/>
      <c r="U34" s="52"/>
      <c r="V34" s="52"/>
      <c r="W34" s="52"/>
      <c r="X34" s="52"/>
      <c r="Y34" s="57"/>
      <c r="Z34" s="57"/>
      <c r="AA34" s="57"/>
      <c r="AB34" s="57"/>
      <c r="AC34" s="52"/>
      <c r="AD34" s="52"/>
      <c r="AE34" s="52"/>
      <c r="AF34" s="52"/>
      <c r="AG34" s="57"/>
      <c r="AH34" s="57"/>
      <c r="AI34" s="5"/>
    </row>
    <row r="35" spans="1:35">
      <c r="A35" s="104"/>
      <c r="B35" s="105"/>
      <c r="C35" s="62"/>
      <c r="D35" s="62"/>
      <c r="E35" s="52"/>
      <c r="F35" s="52"/>
      <c r="G35" s="52"/>
      <c r="H35" s="52"/>
      <c r="I35" s="57"/>
      <c r="J35" s="57"/>
      <c r="K35" s="57"/>
      <c r="L35" s="57"/>
      <c r="M35" s="52"/>
      <c r="N35" s="52"/>
      <c r="O35" s="52"/>
      <c r="P35" s="52"/>
      <c r="Q35" s="57"/>
      <c r="R35" s="57"/>
      <c r="S35" s="57"/>
      <c r="T35" s="57"/>
      <c r="U35" s="52"/>
      <c r="V35" s="52"/>
      <c r="W35" s="52"/>
      <c r="X35" s="52"/>
      <c r="Y35" s="57"/>
      <c r="Z35" s="57"/>
      <c r="AA35" s="57"/>
      <c r="AB35" s="57"/>
      <c r="AC35" s="52"/>
      <c r="AD35" s="52"/>
      <c r="AE35" s="52"/>
      <c r="AF35" s="52"/>
      <c r="AG35" s="57"/>
      <c r="AH35" s="57"/>
      <c r="AI35" s="5"/>
    </row>
    <row r="36" spans="1:35">
      <c r="A36" s="104"/>
      <c r="B36" s="105"/>
      <c r="C36" s="62"/>
      <c r="D36" s="62"/>
      <c r="E36" s="52"/>
      <c r="F36" s="52"/>
      <c r="G36" s="52"/>
      <c r="H36" s="52"/>
      <c r="I36" s="57"/>
      <c r="J36" s="57"/>
      <c r="K36" s="57"/>
      <c r="L36" s="57"/>
      <c r="M36" s="52"/>
      <c r="N36" s="52"/>
      <c r="O36" s="52"/>
      <c r="P36" s="52"/>
      <c r="Q36" s="57"/>
      <c r="R36" s="57"/>
      <c r="S36" s="57"/>
      <c r="T36" s="57"/>
      <c r="U36" s="52"/>
      <c r="V36" s="52"/>
      <c r="W36" s="52"/>
      <c r="X36" s="52"/>
      <c r="Y36" s="57"/>
      <c r="Z36" s="57"/>
      <c r="AA36" s="57"/>
      <c r="AB36" s="57"/>
      <c r="AC36" s="52"/>
      <c r="AD36" s="52"/>
      <c r="AE36" s="52"/>
      <c r="AF36" s="52"/>
      <c r="AG36" s="57"/>
      <c r="AH36" s="57"/>
      <c r="AI36" s="5"/>
    </row>
    <row r="37" spans="1:35">
      <c r="A37" s="58"/>
      <c r="B37" s="58"/>
      <c r="C37" s="60"/>
      <c r="D37" s="60"/>
      <c r="E37" s="60"/>
      <c r="F37" s="61"/>
      <c r="G37" s="60" t="s">
        <v>265</v>
      </c>
      <c r="H37" s="61">
        <v>0.39693129999999999</v>
      </c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59"/>
      <c r="AI37" s="5"/>
    </row>
    <row r="38" spans="1:35">
      <c r="A38" s="104" t="s">
        <v>268</v>
      </c>
      <c r="B38" s="105"/>
      <c r="C38" s="65">
        <f>AVERAGE(D15:D24)</f>
        <v>0.50378100999999997</v>
      </c>
      <c r="D38" s="65">
        <f>C38/$AL$2</f>
        <v>1.2594525249999999</v>
      </c>
      <c r="E38" s="66">
        <f>AVERAGE(F15:F24)</f>
        <v>0.26469243000000003</v>
      </c>
      <c r="F38" s="66">
        <f>E38/$AL$1</f>
        <v>0.88230810000000015</v>
      </c>
      <c r="G38" s="66">
        <f>AVERAGE(H15:H24)</f>
        <v>0.28933064000000003</v>
      </c>
      <c r="H38" s="66">
        <f>G38/$AL$1</f>
        <v>0.9644354666666668</v>
      </c>
      <c r="I38" s="65">
        <f>AVERAGE(J15:J24)</f>
        <v>0.45285850999999999</v>
      </c>
      <c r="J38" s="65">
        <f>I38/$AL$2</f>
        <v>1.132146275</v>
      </c>
      <c r="K38" s="65">
        <f>AVERAGE(L15:L24)</f>
        <v>0.43100765000000002</v>
      </c>
      <c r="L38" s="65">
        <f>K38/$AL$2</f>
        <v>1.077519125</v>
      </c>
      <c r="M38" s="66">
        <f>AVERAGE(N15:N24)</f>
        <v>0.26198280000000002</v>
      </c>
      <c r="N38" s="66">
        <f>M38/$AL$1</f>
        <v>0.87327600000000005</v>
      </c>
      <c r="O38" s="66">
        <f>AVERAGE(P15:P24)</f>
        <v>0.14221569000000001</v>
      </c>
      <c r="P38" s="66">
        <f>O38/$AL$1</f>
        <v>0.47405230000000004</v>
      </c>
      <c r="Q38" s="65">
        <f>AVERAGE(R15:R24)</f>
        <v>0.56961507649999998</v>
      </c>
      <c r="R38" s="65">
        <f>Q38/$AL$2</f>
        <v>1.4240376912499999</v>
      </c>
      <c r="S38" s="65">
        <f>AVERAGE(T15:T24)</f>
        <v>0.46788791000000007</v>
      </c>
      <c r="T38" s="65">
        <f>S38/$AL$2</f>
        <v>1.1697197750000001</v>
      </c>
      <c r="U38" s="66">
        <f>AVERAGE(V15:V24)</f>
        <v>0.22972624000000003</v>
      </c>
      <c r="V38" s="66">
        <f>U38/$AL$1</f>
        <v>0.76575413333333342</v>
      </c>
      <c r="W38" s="66">
        <f>AVERAGE(X15:X24)</f>
        <v>0.28219151999999997</v>
      </c>
      <c r="X38" s="66">
        <f>W38/$AL$1</f>
        <v>0.94063839999999999</v>
      </c>
      <c r="Y38" s="65">
        <f>AVERAGE(Z15:Z24)</f>
        <v>0.60034571000000014</v>
      </c>
      <c r="Z38" s="65">
        <f>Y38/$AL$2</f>
        <v>1.5008642750000003</v>
      </c>
      <c r="AA38" s="65">
        <f>AVERAGE(AB15:AB24)</f>
        <v>0.63627728000000006</v>
      </c>
      <c r="AB38" s="65">
        <f>AA38/$AL$2</f>
        <v>1.5906932</v>
      </c>
      <c r="AC38" s="66">
        <f>AVERAGE(AD15:AD24)</f>
        <v>0.62252741</v>
      </c>
      <c r="AD38" s="66">
        <f>AC38/$AL$1</f>
        <v>2.0750913666666668</v>
      </c>
      <c r="AE38" s="66">
        <f>AVERAGE(AF15:AF24)</f>
        <v>0.25776799</v>
      </c>
      <c r="AF38" s="66">
        <f>AE38/$AL$1</f>
        <v>0.85922663333333338</v>
      </c>
      <c r="AG38" s="65">
        <f>AVERAGE(AH15:AH24)</f>
        <v>0.52069480000000001</v>
      </c>
      <c r="AH38" s="65">
        <f>AG38/$AL$2</f>
        <v>1.3017369999999999</v>
      </c>
      <c r="AI38" s="5"/>
    </row>
    <row r="39" spans="1:35">
      <c r="A39" s="104"/>
      <c r="B39" s="105"/>
      <c r="C39" s="26" t="s">
        <v>197</v>
      </c>
      <c r="D39" s="26" t="s">
        <v>267</v>
      </c>
      <c r="E39" s="28" t="s">
        <v>197</v>
      </c>
      <c r="F39" s="28" t="s">
        <v>267</v>
      </c>
      <c r="G39" s="28" t="s">
        <v>197</v>
      </c>
      <c r="H39" s="28" t="s">
        <v>267</v>
      </c>
      <c r="I39" s="26" t="s">
        <v>197</v>
      </c>
      <c r="J39" s="26" t="s">
        <v>267</v>
      </c>
      <c r="K39" s="26" t="s">
        <v>197</v>
      </c>
      <c r="L39" s="26" t="s">
        <v>267</v>
      </c>
      <c r="M39" s="28" t="s">
        <v>197</v>
      </c>
      <c r="N39" s="28" t="s">
        <v>267</v>
      </c>
      <c r="O39" s="28" t="s">
        <v>197</v>
      </c>
      <c r="P39" s="28" t="s">
        <v>267</v>
      </c>
      <c r="Q39" s="26" t="s">
        <v>197</v>
      </c>
      <c r="R39" s="26" t="s">
        <v>267</v>
      </c>
      <c r="S39" s="26" t="s">
        <v>197</v>
      </c>
      <c r="T39" s="26" t="s">
        <v>267</v>
      </c>
      <c r="U39" s="28" t="s">
        <v>197</v>
      </c>
      <c r="V39" s="28" t="s">
        <v>267</v>
      </c>
      <c r="W39" s="28" t="s">
        <v>197</v>
      </c>
      <c r="X39" s="28" t="s">
        <v>267</v>
      </c>
      <c r="Y39" s="26" t="s">
        <v>197</v>
      </c>
      <c r="Z39" s="26" t="s">
        <v>267</v>
      </c>
      <c r="AA39" s="26" t="s">
        <v>197</v>
      </c>
      <c r="AB39" s="26" t="s">
        <v>267</v>
      </c>
      <c r="AC39" s="28" t="s">
        <v>197</v>
      </c>
      <c r="AD39" s="28" t="s">
        <v>267</v>
      </c>
      <c r="AE39" s="28" t="s">
        <v>197</v>
      </c>
      <c r="AF39" s="28" t="s">
        <v>267</v>
      </c>
      <c r="AG39" s="26" t="s">
        <v>197</v>
      </c>
      <c r="AH39" s="26" t="s">
        <v>267</v>
      </c>
      <c r="AI39" s="5"/>
    </row>
    <row r="40" spans="1:35">
      <c r="A40" s="104"/>
      <c r="B40" s="106"/>
      <c r="C40" s="55"/>
      <c r="D40" s="52"/>
      <c r="E40" s="57"/>
      <c r="F40" s="57"/>
      <c r="G40" s="57"/>
      <c r="H40" s="54"/>
      <c r="I40" s="42"/>
      <c r="J40" s="42"/>
      <c r="K40" s="42"/>
      <c r="L40" s="42"/>
      <c r="M40" s="45"/>
      <c r="N40" s="45"/>
      <c r="O40" s="45"/>
      <c r="P40" s="45"/>
      <c r="Q40" s="42"/>
      <c r="R40" s="42"/>
      <c r="S40" s="42"/>
      <c r="T40" s="42"/>
      <c r="U40" s="45"/>
      <c r="V40" s="45"/>
      <c r="W40" s="45"/>
      <c r="X40" s="45"/>
      <c r="Y40" s="42"/>
      <c r="Z40" s="42"/>
      <c r="AA40" s="42"/>
      <c r="AB40" s="42"/>
      <c r="AC40" s="45"/>
      <c r="AD40" s="45"/>
      <c r="AE40" s="45"/>
      <c r="AF40" s="45"/>
      <c r="AG40" s="42"/>
      <c r="AH40" s="42"/>
      <c r="AI40" s="5"/>
    </row>
    <row r="41" spans="1:35">
      <c r="A41" s="104"/>
      <c r="B41" s="106"/>
      <c r="C41" s="55"/>
      <c r="D41" s="52"/>
      <c r="E41" s="57"/>
      <c r="F41" s="57"/>
      <c r="G41" s="57"/>
      <c r="H41" s="54"/>
      <c r="I41" s="42"/>
      <c r="J41" s="42"/>
      <c r="K41" s="42"/>
      <c r="L41" s="42"/>
      <c r="M41" s="45"/>
      <c r="N41" s="45"/>
      <c r="O41" s="45"/>
      <c r="P41" s="45"/>
      <c r="Q41" s="42"/>
      <c r="R41" s="42"/>
      <c r="S41" s="42"/>
      <c r="T41" s="42"/>
      <c r="U41" s="45"/>
      <c r="V41" s="45"/>
      <c r="W41" s="45"/>
      <c r="X41" s="45"/>
      <c r="Y41" s="42"/>
      <c r="Z41" s="42"/>
      <c r="AA41" s="42"/>
      <c r="AB41" s="42"/>
      <c r="AC41" s="45"/>
      <c r="AD41" s="45"/>
      <c r="AE41" s="45"/>
      <c r="AF41" s="45"/>
      <c r="AG41" s="42"/>
      <c r="AH41" s="42"/>
      <c r="AI41" s="5"/>
    </row>
    <row r="42" spans="1:35">
      <c r="A42" s="104"/>
      <c r="B42" s="106"/>
      <c r="C42" s="55"/>
      <c r="D42" s="52"/>
      <c r="E42" s="57"/>
      <c r="F42" s="57"/>
      <c r="G42" s="57"/>
      <c r="H42" s="54"/>
      <c r="I42" s="42"/>
      <c r="J42" s="42"/>
      <c r="K42" s="42"/>
      <c r="L42" s="42"/>
      <c r="M42" s="45"/>
      <c r="N42" s="45"/>
      <c r="O42" s="45"/>
      <c r="P42" s="45"/>
      <c r="Q42" s="42"/>
      <c r="R42" s="42"/>
      <c r="S42" s="42"/>
      <c r="T42" s="42"/>
      <c r="U42" s="45"/>
      <c r="V42" s="45"/>
      <c r="W42" s="45"/>
      <c r="X42" s="45"/>
      <c r="Y42" s="42"/>
      <c r="Z42" s="42"/>
      <c r="AA42" s="42"/>
      <c r="AB42" s="42"/>
      <c r="AC42" s="45"/>
      <c r="AD42" s="45"/>
      <c r="AE42" s="45"/>
      <c r="AF42" s="45"/>
      <c r="AG42" s="42"/>
      <c r="AH42" s="42"/>
      <c r="AI42" s="5"/>
    </row>
    <row r="43" spans="1:35">
      <c r="A43" s="104"/>
      <c r="B43" s="106"/>
      <c r="C43" s="55"/>
      <c r="D43" s="52"/>
      <c r="E43" s="57"/>
      <c r="F43" s="57"/>
      <c r="G43" s="57"/>
      <c r="H43" s="54"/>
      <c r="I43" s="42"/>
      <c r="J43" s="42"/>
      <c r="K43" s="42"/>
      <c r="L43" s="42"/>
      <c r="M43" s="45"/>
      <c r="N43" s="45"/>
      <c r="O43" s="45"/>
      <c r="P43" s="45"/>
      <c r="Q43" s="42"/>
      <c r="R43" s="42"/>
      <c r="S43" s="42"/>
      <c r="T43" s="42"/>
      <c r="U43" s="45"/>
      <c r="V43" s="45"/>
      <c r="W43" s="45"/>
      <c r="X43" s="45"/>
      <c r="Y43" s="42"/>
      <c r="Z43" s="42"/>
      <c r="AA43" s="42"/>
      <c r="AB43" s="42"/>
      <c r="AC43" s="45"/>
      <c r="AD43" s="45"/>
      <c r="AE43" s="45"/>
      <c r="AF43" s="45"/>
      <c r="AG43" s="42"/>
      <c r="AH43" s="42"/>
      <c r="AI43" s="5"/>
    </row>
    <row r="44" spans="1:35">
      <c r="A44" s="104"/>
      <c r="B44" s="106"/>
      <c r="C44" s="55"/>
      <c r="D44" s="52"/>
      <c r="E44" s="57"/>
      <c r="F44" s="57"/>
      <c r="G44" s="57"/>
      <c r="H44" s="54"/>
      <c r="I44" s="42"/>
      <c r="J44" s="42"/>
      <c r="K44" s="42"/>
      <c r="L44" s="42"/>
      <c r="M44" s="45"/>
      <c r="N44" s="45"/>
      <c r="O44" s="45"/>
      <c r="P44" s="45"/>
      <c r="Q44" s="42"/>
      <c r="R44" s="42"/>
      <c r="S44" s="42"/>
      <c r="T44" s="42"/>
      <c r="U44" s="45"/>
      <c r="V44" s="45"/>
      <c r="W44" s="45"/>
      <c r="X44" s="45"/>
      <c r="Y44" s="42"/>
      <c r="Z44" s="42"/>
      <c r="AA44" s="42"/>
      <c r="AB44" s="42"/>
      <c r="AC44" s="45"/>
      <c r="AD44" s="45"/>
      <c r="AE44" s="45"/>
      <c r="AF44" s="45"/>
      <c r="AG44" s="42"/>
      <c r="AH44" s="42"/>
      <c r="AI44" s="5"/>
    </row>
    <row r="45" spans="1:35">
      <c r="A45" s="104"/>
      <c r="B45" s="106"/>
      <c r="C45" s="55"/>
      <c r="D45" s="52"/>
      <c r="E45" s="57"/>
      <c r="F45" s="57"/>
      <c r="G45" s="57"/>
      <c r="H45" s="54"/>
      <c r="I45" s="42"/>
      <c r="J45" s="42"/>
      <c r="K45" s="42"/>
      <c r="L45" s="42"/>
      <c r="M45" s="45"/>
      <c r="N45" s="45"/>
      <c r="O45" s="45"/>
      <c r="P45" s="45"/>
      <c r="Q45" s="42"/>
      <c r="R45" s="42"/>
      <c r="S45" s="42"/>
      <c r="T45" s="42"/>
      <c r="U45" s="45"/>
      <c r="V45" s="45"/>
      <c r="W45" s="45"/>
      <c r="X45" s="45"/>
      <c r="Y45" s="42"/>
      <c r="Z45" s="42"/>
      <c r="AA45" s="42"/>
      <c r="AB45" s="42"/>
      <c r="AC45" s="45"/>
      <c r="AD45" s="45"/>
      <c r="AE45" s="45"/>
      <c r="AF45" s="45"/>
      <c r="AG45" s="42"/>
      <c r="AH45" s="42"/>
      <c r="AI45" s="5"/>
    </row>
    <row r="46" spans="1:35">
      <c r="A46" s="104"/>
      <c r="B46" s="106"/>
      <c r="C46" s="55"/>
      <c r="D46" s="52"/>
      <c r="E46" s="57"/>
      <c r="F46" s="57"/>
      <c r="G46" s="57"/>
      <c r="H46" s="54"/>
      <c r="I46" s="42"/>
      <c r="J46" s="42"/>
      <c r="K46" s="42"/>
      <c r="L46" s="42"/>
      <c r="M46" s="45"/>
      <c r="N46" s="45"/>
      <c r="O46" s="45"/>
      <c r="P46" s="45"/>
      <c r="Q46" s="42"/>
      <c r="R46" s="42"/>
      <c r="S46" s="42"/>
      <c r="T46" s="42"/>
      <c r="U46" s="45"/>
      <c r="V46" s="45"/>
      <c r="W46" s="45"/>
      <c r="X46" s="45"/>
      <c r="Y46" s="42"/>
      <c r="Z46" s="42"/>
      <c r="AA46" s="42"/>
      <c r="AB46" s="42"/>
      <c r="AC46" s="45"/>
      <c r="AD46" s="45"/>
      <c r="AE46" s="45"/>
      <c r="AF46" s="45"/>
      <c r="AG46" s="42"/>
      <c r="AH46" s="42"/>
      <c r="AI46" s="5"/>
    </row>
    <row r="47" spans="1:35">
      <c r="A47" s="104"/>
      <c r="B47" s="106"/>
      <c r="C47" s="55"/>
      <c r="D47" s="52"/>
      <c r="E47" s="57"/>
      <c r="F47" s="57"/>
      <c r="G47" s="57"/>
      <c r="H47" s="54"/>
      <c r="I47" s="42"/>
      <c r="J47" s="42"/>
      <c r="K47" s="42"/>
      <c r="L47" s="42"/>
      <c r="M47" s="45"/>
      <c r="N47" s="45"/>
      <c r="O47" s="45"/>
      <c r="P47" s="45"/>
      <c r="Q47" s="42"/>
      <c r="R47" s="42"/>
      <c r="S47" s="42"/>
      <c r="T47" s="42"/>
      <c r="U47" s="45"/>
      <c r="V47" s="45"/>
      <c r="W47" s="45"/>
      <c r="X47" s="45"/>
      <c r="Y47" s="42"/>
      <c r="Z47" s="42"/>
      <c r="AA47" s="42"/>
      <c r="AB47" s="42"/>
      <c r="AC47" s="45"/>
      <c r="AD47" s="45"/>
      <c r="AE47" s="45"/>
      <c r="AF47" s="45"/>
      <c r="AG47" s="42"/>
      <c r="AH47" s="42"/>
      <c r="AI47" s="5"/>
    </row>
    <row r="48" spans="1:35">
      <c r="A48" s="104"/>
      <c r="B48" s="106"/>
      <c r="C48" s="55"/>
      <c r="D48" s="52"/>
      <c r="E48" s="57"/>
      <c r="F48" s="57"/>
      <c r="G48" s="57"/>
      <c r="H48" s="54"/>
      <c r="I48" s="42"/>
      <c r="J48" s="42"/>
      <c r="K48" s="42"/>
      <c r="L48" s="42"/>
      <c r="M48" s="45"/>
      <c r="N48" s="45"/>
      <c r="O48" s="45"/>
      <c r="P48" s="45"/>
      <c r="Q48" s="42"/>
      <c r="R48" s="42"/>
      <c r="S48" s="42"/>
      <c r="T48" s="42"/>
      <c r="U48" s="45"/>
      <c r="V48" s="45"/>
      <c r="W48" s="45"/>
      <c r="X48" s="45"/>
      <c r="Y48" s="42"/>
      <c r="Z48" s="42"/>
      <c r="AA48" s="42"/>
      <c r="AB48" s="42"/>
      <c r="AC48" s="45"/>
      <c r="AD48" s="45"/>
      <c r="AE48" s="45"/>
      <c r="AF48" s="45"/>
      <c r="AG48" s="42"/>
      <c r="AH48" s="42"/>
      <c r="AI48" s="5"/>
    </row>
    <row r="49" spans="1:19">
      <c r="A49" s="5"/>
      <c r="B49" s="5"/>
      <c r="C49" s="5"/>
      <c r="E49" s="5"/>
      <c r="G49" s="5"/>
      <c r="I49" s="5"/>
      <c r="K49" s="5"/>
      <c r="M49" s="5"/>
      <c r="O49" s="5"/>
      <c r="Q49" s="5"/>
      <c r="S49" s="5"/>
    </row>
    <row r="50" spans="1:19">
      <c r="A50" s="5"/>
      <c r="B50" s="5"/>
      <c r="C50" s="5"/>
      <c r="E50" s="5"/>
      <c r="G50" s="5"/>
      <c r="I50" s="5"/>
      <c r="K50" s="5"/>
      <c r="M50" s="5"/>
      <c r="O50" s="5"/>
      <c r="Q50" s="5"/>
      <c r="S50" s="5"/>
    </row>
    <row r="51" spans="1:19">
      <c r="A51" s="6" t="s">
        <v>251</v>
      </c>
      <c r="B51" s="6" t="s">
        <v>269</v>
      </c>
      <c r="C51" s="6" t="s">
        <v>270</v>
      </c>
      <c r="D51" s="6" t="s">
        <v>271</v>
      </c>
      <c r="E51" s="5"/>
      <c r="F51" s="6" t="s">
        <v>269</v>
      </c>
      <c r="G51" s="6" t="s">
        <v>270</v>
      </c>
      <c r="H51" s="6" t="s">
        <v>271</v>
      </c>
      <c r="I51" s="5"/>
      <c r="K51" s="5"/>
      <c r="M51" s="5"/>
      <c r="O51" s="5"/>
      <c r="Q51" s="5"/>
      <c r="S51" s="5"/>
    </row>
    <row r="52" spans="1:19">
      <c r="A52" s="84">
        <v>1</v>
      </c>
      <c r="B52" s="6">
        <v>0.95003820000000005</v>
      </c>
      <c r="C52" s="6">
        <v>1.2594525249999999</v>
      </c>
      <c r="D52" s="6">
        <f>B52-C52</f>
        <v>-0.30941432499999988</v>
      </c>
      <c r="E52" s="5"/>
      <c r="F52" s="6">
        <f>B52*100</f>
        <v>95.003820000000005</v>
      </c>
      <c r="G52" s="6">
        <f t="shared" ref="G52:H67" si="0">C52*100</f>
        <v>125.9452525</v>
      </c>
      <c r="H52" s="6">
        <f t="shared" si="0"/>
        <v>-30.941432499999987</v>
      </c>
      <c r="I52" s="5"/>
      <c r="K52" s="5"/>
      <c r="M52" s="5"/>
      <c r="O52" s="5"/>
      <c r="Q52" s="5"/>
      <c r="S52" s="5"/>
    </row>
    <row r="53" spans="1:19">
      <c r="A53" s="84">
        <v>2</v>
      </c>
      <c r="B53" s="6">
        <v>1.4431463250000001</v>
      </c>
      <c r="C53" s="6">
        <v>0.88230810000000015</v>
      </c>
      <c r="D53" s="6">
        <f t="shared" ref="D53:D67" si="1">B53-C53</f>
        <v>0.56083822499999991</v>
      </c>
      <c r="E53" s="5"/>
      <c r="F53" s="6">
        <f t="shared" ref="F53:F67" si="2">B53*100</f>
        <v>144.31463250000002</v>
      </c>
      <c r="G53" s="6">
        <f t="shared" si="0"/>
        <v>88.230810000000019</v>
      </c>
      <c r="H53" s="6">
        <f t="shared" si="0"/>
        <v>56.083822499999989</v>
      </c>
      <c r="I53" s="5"/>
      <c r="K53" s="5"/>
      <c r="M53" s="5"/>
      <c r="O53" s="5"/>
      <c r="Q53" s="5"/>
      <c r="S53" s="5"/>
    </row>
    <row r="54" spans="1:19">
      <c r="A54" s="84">
        <v>3</v>
      </c>
      <c r="B54" s="6">
        <v>0.99202979999999996</v>
      </c>
      <c r="C54" s="6">
        <v>0.9644354666666668</v>
      </c>
      <c r="D54" s="6">
        <f t="shared" si="1"/>
        <v>2.7594333333333165E-2</v>
      </c>
      <c r="E54" s="5"/>
      <c r="F54" s="6">
        <f t="shared" si="2"/>
        <v>99.202979999999997</v>
      </c>
      <c r="G54" s="6">
        <f t="shared" si="0"/>
        <v>96.443546666666677</v>
      </c>
      <c r="H54" s="6">
        <f t="shared" si="0"/>
        <v>2.7594333333333165</v>
      </c>
      <c r="I54" s="5"/>
      <c r="K54" s="5"/>
      <c r="M54" s="5"/>
      <c r="O54" s="5"/>
      <c r="Q54" s="5"/>
      <c r="S54" s="5"/>
    </row>
    <row r="55" spans="1:19">
      <c r="A55" s="84">
        <v>4</v>
      </c>
      <c r="B55" s="6">
        <v>0.97295820000000022</v>
      </c>
      <c r="C55" s="6">
        <v>1.132146275</v>
      </c>
      <c r="D55" s="6">
        <f t="shared" si="1"/>
        <v>-0.15918807499999976</v>
      </c>
      <c r="E55" s="5"/>
      <c r="F55" s="6">
        <f t="shared" si="2"/>
        <v>97.29582000000002</v>
      </c>
      <c r="G55" s="6">
        <f t="shared" si="0"/>
        <v>113.21462749999999</v>
      </c>
      <c r="H55" s="6">
        <f t="shared" si="0"/>
        <v>-15.918807499999977</v>
      </c>
      <c r="I55" s="5"/>
      <c r="K55" s="5"/>
      <c r="M55" s="5"/>
      <c r="O55" s="5"/>
      <c r="Q55" s="5"/>
      <c r="S55" s="5"/>
    </row>
    <row r="56" spans="1:19">
      <c r="A56" s="84">
        <v>5</v>
      </c>
      <c r="B56" s="6">
        <v>0.84447339999999982</v>
      </c>
      <c r="C56" s="6">
        <v>1.077519125</v>
      </c>
      <c r="D56" s="6">
        <f t="shared" si="1"/>
        <v>-0.2330457250000002</v>
      </c>
      <c r="E56" s="5"/>
      <c r="F56" s="6">
        <f t="shared" si="2"/>
        <v>84.447339999999983</v>
      </c>
      <c r="G56" s="6">
        <f t="shared" si="0"/>
        <v>107.7519125</v>
      </c>
      <c r="H56" s="6">
        <f t="shared" si="0"/>
        <v>-23.30457250000002</v>
      </c>
      <c r="I56" s="5"/>
      <c r="K56" s="5"/>
      <c r="M56" s="5"/>
      <c r="O56" s="5"/>
      <c r="Q56" s="5"/>
      <c r="S56" s="5"/>
    </row>
    <row r="57" spans="1:19">
      <c r="A57" s="84">
        <v>6</v>
      </c>
      <c r="B57" s="6">
        <v>1.4295091</v>
      </c>
      <c r="C57" s="6">
        <v>0.87327600000000005</v>
      </c>
      <c r="D57" s="6">
        <f t="shared" si="1"/>
        <v>0.55623309999999992</v>
      </c>
      <c r="E57" s="5"/>
      <c r="F57" s="6">
        <f t="shared" si="2"/>
        <v>142.95090999999999</v>
      </c>
      <c r="G57" s="6">
        <f t="shared" si="0"/>
        <v>87.327600000000004</v>
      </c>
      <c r="H57" s="6">
        <f t="shared" si="0"/>
        <v>55.623309999999989</v>
      </c>
      <c r="I57" s="5"/>
      <c r="K57" s="5"/>
      <c r="M57" s="5"/>
      <c r="O57" s="5"/>
      <c r="Q57" s="5"/>
      <c r="S57" s="5"/>
    </row>
    <row r="58" spans="1:19">
      <c r="A58" s="84">
        <v>7</v>
      </c>
      <c r="B58" s="6">
        <v>1.7615528499999999</v>
      </c>
      <c r="C58" s="6">
        <v>0.47405230000000004</v>
      </c>
      <c r="D58" s="6">
        <f t="shared" si="1"/>
        <v>1.2875005499999999</v>
      </c>
      <c r="E58" s="5"/>
      <c r="F58" s="6">
        <f t="shared" si="2"/>
        <v>176.15528499999999</v>
      </c>
      <c r="G58" s="6">
        <f t="shared" si="0"/>
        <v>47.405230000000003</v>
      </c>
      <c r="H58" s="6">
        <f t="shared" si="0"/>
        <v>128.75005499999997</v>
      </c>
      <c r="I58" s="5"/>
      <c r="K58" s="5"/>
      <c r="M58" s="5"/>
      <c r="O58" s="5"/>
      <c r="Q58" s="5"/>
      <c r="S58" s="5"/>
    </row>
    <row r="59" spans="1:19">
      <c r="A59" s="84">
        <v>8</v>
      </c>
      <c r="B59" s="6">
        <v>0.6234793666666667</v>
      </c>
      <c r="C59" s="6">
        <v>1.4240376912499999</v>
      </c>
      <c r="D59" s="6">
        <f t="shared" si="1"/>
        <v>-0.8005583245833332</v>
      </c>
      <c r="E59" s="5"/>
      <c r="F59" s="6">
        <f t="shared" si="2"/>
        <v>62.347936666666669</v>
      </c>
      <c r="G59" s="6">
        <f t="shared" si="0"/>
        <v>142.403769125</v>
      </c>
      <c r="H59" s="6">
        <f t="shared" si="0"/>
        <v>-80.055832458333327</v>
      </c>
      <c r="I59" s="5"/>
      <c r="K59" s="5"/>
      <c r="M59" s="5"/>
      <c r="O59" s="5"/>
      <c r="Q59" s="5"/>
      <c r="S59" s="5"/>
    </row>
    <row r="60" spans="1:19">
      <c r="A60" s="84">
        <v>9</v>
      </c>
      <c r="B60" s="6">
        <v>1.1662038333333333</v>
      </c>
      <c r="C60" s="6">
        <v>1.1697197750000001</v>
      </c>
      <c r="D60" s="6">
        <f t="shared" si="1"/>
        <v>-3.5159416666667997E-3</v>
      </c>
      <c r="E60" s="5"/>
      <c r="F60" s="6">
        <f t="shared" si="2"/>
        <v>116.62038333333334</v>
      </c>
      <c r="G60" s="6">
        <f t="shared" si="0"/>
        <v>116.97197750000001</v>
      </c>
      <c r="H60" s="6">
        <f t="shared" si="0"/>
        <v>-0.35159416666667997</v>
      </c>
      <c r="I60" s="5"/>
      <c r="K60" s="5"/>
      <c r="M60" s="5"/>
      <c r="O60" s="5"/>
      <c r="Q60" s="5"/>
      <c r="S60" s="5"/>
    </row>
    <row r="61" spans="1:19">
      <c r="A61" s="84">
        <v>10</v>
      </c>
      <c r="B61" s="6">
        <v>1.8691356499999996</v>
      </c>
      <c r="C61" s="6">
        <v>0.76575413333333342</v>
      </c>
      <c r="D61" s="6">
        <f t="shared" si="1"/>
        <v>1.1033815166666661</v>
      </c>
      <c r="E61" s="5"/>
      <c r="F61" s="6">
        <f t="shared" si="2"/>
        <v>186.91356499999995</v>
      </c>
      <c r="G61" s="6">
        <f t="shared" si="0"/>
        <v>76.575413333333344</v>
      </c>
      <c r="H61" s="6">
        <f t="shared" si="0"/>
        <v>110.3381516666666</v>
      </c>
      <c r="I61" s="5"/>
      <c r="K61" s="5"/>
      <c r="M61" s="5"/>
      <c r="O61" s="5"/>
      <c r="Q61" s="5"/>
      <c r="S61" s="5"/>
    </row>
    <row r="62" spans="1:19">
      <c r="A62" s="84">
        <v>11</v>
      </c>
      <c r="B62" s="6">
        <v>1.10328315</v>
      </c>
      <c r="C62" s="6">
        <v>0.94063839999999999</v>
      </c>
      <c r="D62" s="6">
        <f t="shared" si="1"/>
        <v>0.16264475</v>
      </c>
      <c r="E62" s="5"/>
      <c r="F62" s="6">
        <f t="shared" si="2"/>
        <v>110.328315</v>
      </c>
      <c r="G62" s="6">
        <f t="shared" si="0"/>
        <v>94.063839999999999</v>
      </c>
      <c r="H62" s="6">
        <f t="shared" si="0"/>
        <v>16.264475000000001</v>
      </c>
      <c r="I62" s="5"/>
      <c r="K62" s="5"/>
      <c r="M62" s="5"/>
      <c r="O62" s="5"/>
      <c r="Q62" s="5"/>
      <c r="S62" s="5"/>
    </row>
    <row r="63" spans="1:19">
      <c r="A63" s="84">
        <v>12</v>
      </c>
      <c r="B63" s="6">
        <v>0.8592109</v>
      </c>
      <c r="C63" s="6">
        <v>1.5008642750000003</v>
      </c>
      <c r="D63" s="6">
        <f t="shared" si="1"/>
        <v>-0.6416533750000003</v>
      </c>
      <c r="E63" s="5"/>
      <c r="F63" s="6">
        <f t="shared" si="2"/>
        <v>85.921090000000007</v>
      </c>
      <c r="G63" s="6">
        <f t="shared" si="0"/>
        <v>150.08642750000004</v>
      </c>
      <c r="H63" s="6">
        <f t="shared" si="0"/>
        <v>-64.165337500000035</v>
      </c>
      <c r="I63" s="5"/>
      <c r="K63" s="5"/>
      <c r="M63" s="5"/>
      <c r="O63" s="5"/>
      <c r="Q63" s="5"/>
      <c r="S63" s="5"/>
    </row>
    <row r="64" spans="1:19">
      <c r="A64" s="84">
        <v>13</v>
      </c>
      <c r="B64" s="6">
        <v>0.83725039999999995</v>
      </c>
      <c r="C64" s="6">
        <v>1.5906932</v>
      </c>
      <c r="D64" s="6">
        <f t="shared" si="1"/>
        <v>-0.75344280000000008</v>
      </c>
      <c r="E64" s="5"/>
      <c r="F64" s="6">
        <f t="shared" si="2"/>
        <v>83.725039999999993</v>
      </c>
      <c r="G64" s="6">
        <f t="shared" si="0"/>
        <v>159.06932</v>
      </c>
      <c r="H64" s="6">
        <f t="shared" si="0"/>
        <v>-75.344280000000012</v>
      </c>
      <c r="I64" s="5"/>
      <c r="K64" s="5"/>
      <c r="M64" s="5"/>
      <c r="O64" s="5"/>
      <c r="Q64" s="5"/>
      <c r="S64" s="5"/>
    </row>
    <row r="65" spans="1:9">
      <c r="A65" s="84">
        <v>14</v>
      </c>
      <c r="B65" s="6">
        <v>0.78533594999999978</v>
      </c>
      <c r="C65" s="6">
        <v>2.0750913666666668</v>
      </c>
      <c r="D65" s="6">
        <f t="shared" si="1"/>
        <v>-1.2897554166666669</v>
      </c>
      <c r="E65" s="5"/>
      <c r="F65" s="6">
        <f t="shared" si="2"/>
        <v>78.533594999999977</v>
      </c>
      <c r="G65" s="6">
        <f t="shared" si="0"/>
        <v>207.50913666666668</v>
      </c>
      <c r="H65" s="6">
        <f t="shared" si="0"/>
        <v>-128.97554166666669</v>
      </c>
      <c r="I65" s="5"/>
    </row>
    <row r="66" spans="1:9">
      <c r="A66" s="84">
        <v>15</v>
      </c>
      <c r="B66" s="6">
        <v>1.4605272500000002</v>
      </c>
      <c r="C66" s="6">
        <v>0.85922663333333338</v>
      </c>
      <c r="D66" s="6">
        <f t="shared" si="1"/>
        <v>0.60130061666666679</v>
      </c>
      <c r="E66" s="5"/>
      <c r="F66" s="6">
        <f t="shared" si="2"/>
        <v>146.05272500000001</v>
      </c>
      <c r="G66" s="6">
        <f t="shared" si="0"/>
        <v>85.922663333333333</v>
      </c>
      <c r="H66" s="6">
        <f t="shared" si="0"/>
        <v>60.130061666666677</v>
      </c>
      <c r="I66" s="5"/>
    </row>
    <row r="67" spans="1:9">
      <c r="A67" s="84">
        <v>16</v>
      </c>
      <c r="B67" s="6">
        <v>1.0471319666666667</v>
      </c>
      <c r="C67" s="6">
        <v>1.3017369999999999</v>
      </c>
      <c r="D67" s="6">
        <f t="shared" si="1"/>
        <v>-0.25460503333333317</v>
      </c>
      <c r="E67" s="5"/>
      <c r="F67" s="6">
        <f t="shared" si="2"/>
        <v>104.71319666666668</v>
      </c>
      <c r="G67" s="6">
        <f t="shared" si="0"/>
        <v>130.1737</v>
      </c>
      <c r="H67" s="6">
        <f t="shared" si="0"/>
        <v>-25.460503333333317</v>
      </c>
      <c r="I67" s="5"/>
    </row>
    <row r="68" spans="1:9">
      <c r="A68" s="5"/>
      <c r="B68" s="5"/>
      <c r="C68" s="5"/>
      <c r="E68" s="5"/>
      <c r="G68" s="5"/>
      <c r="I68" s="5"/>
    </row>
  </sheetData>
  <mergeCells count="22">
    <mergeCell ref="M1:N1"/>
    <mergeCell ref="C1:D1"/>
    <mergeCell ref="E1:F1"/>
    <mergeCell ref="G1:H1"/>
    <mergeCell ref="I1:J1"/>
    <mergeCell ref="K1:L1"/>
    <mergeCell ref="AI1:AK1"/>
    <mergeCell ref="AI2:AK2"/>
    <mergeCell ref="A26:B36"/>
    <mergeCell ref="A38:B48"/>
    <mergeCell ref="AA1:AB1"/>
    <mergeCell ref="AC1:AD1"/>
    <mergeCell ref="AE1:AF1"/>
    <mergeCell ref="AG1:AH1"/>
    <mergeCell ref="A2:B12"/>
    <mergeCell ref="A14:B24"/>
    <mergeCell ref="O1:P1"/>
    <mergeCell ref="Q1:R1"/>
    <mergeCell ref="S1:T1"/>
    <mergeCell ref="U1:V1"/>
    <mergeCell ref="W1:X1"/>
    <mergeCell ref="Y1:Z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0</cp:revision>
  <dcterms:created xsi:type="dcterms:W3CDTF">2026-08-06T23:31:54Z</dcterms:created>
  <dcterms:modified xsi:type="dcterms:W3CDTF">2026-08-27T00:40:26Z</dcterms:modified>
  <cp:category/>
  <cp:contentStatus/>
</cp:coreProperties>
</file>